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DI/shacl_template_GDI/"/>
    </mc:Choice>
  </mc:AlternateContent>
  <xr:revisionPtr revIDLastSave="62" documentId="13_ncr:1_{67D697DE-5446-C941-BDB7-13D5AA62327A}" xr6:coauthVersionLast="47" xr6:coauthVersionMax="47" xr10:uidLastSave="{0DE89675-931E-476E-A94B-B177FDCD7819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3" l="1"/>
  <c r="A16" i="3"/>
  <c r="A15" i="3"/>
  <c r="A14" i="3"/>
  <c r="A13" i="3"/>
  <c r="A12" i="3"/>
  <c r="A11" i="3"/>
  <c r="A10" i="3"/>
  <c r="A9" i="3"/>
  <c r="B7" i="2"/>
</calcChain>
</file>

<file path=xl/sharedStrings.xml><?xml version="1.0" encoding="utf-8"?>
<sst xmlns="http://schemas.openxmlformats.org/spreadsheetml/2006/main" count="231" uniqueCount="167">
  <si>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</si>
  <si>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</si>
  <si>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</si>
  <si>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</si>
  <si>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</si>
  <si>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</si>
  <si>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</si>
  <si>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</si>
  <si>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</si>
  <si>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</si>
  <si>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</si>
  <si>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</si>
  <si>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</si>
  <si>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</si>
  <si>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</si>
  <si>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</si>
  <si>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</si>
  <si>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</si>
  <si>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</si>
  <si>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</si>
  <si>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</si>
  <si>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</si>
  <si>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</si>
  <si>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</si>
  <si>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</si>
  <si>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</si>
  <si>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</si>
  <si>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</si>
  <si>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</si>
  <si>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</si>
  <si>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</si>
  <si>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</si>
  <si>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</si>
  <si>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</si>
  <si>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</si>
  <si>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</si>
  <si>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</si>
  <si>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</si>
  <si>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</si>
  <si>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</si>
  <si>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</si>
  <si>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status</t>
  </si>
  <si>
    <t>http://publications.europa.eu/resource/authority/distribution-status/</t>
  </si>
  <si>
    <t>Shapes URI</t>
  </si>
  <si>
    <t>rdf:type</t>
  </si>
  <si>
    <t>owl:Ontology</t>
  </si>
  <si>
    <t>rdfs:label@en</t>
  </si>
  <si>
    <t>Distribution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</si>
  <si>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</si>
  <si>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</si>
  <si>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</si>
  <si>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</si>
  <si>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</si>
  <si>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</si>
  <si>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</si>
  <si>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</si>
  <si>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</si>
  <si>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</si>
  <si>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</si>
  <si>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</si>
  <si>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</si>
  <si>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</si>
  <si>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</si>
  <si>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</si>
  <si>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</si>
  <si>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</si>
  <si>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</si>
  <si>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</si>
  <si>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</si>
  <si>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</si>
  <si>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</si>
  <si>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</si>
  <si>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</si>
  <si>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</si>
  <si>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</si>
  <si>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</si>
  <si>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</si>
  <si>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</si>
  <si>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</si>
  <si>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</si>
  <si>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</si>
  <si>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dcat:Distribution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</si>
  <si>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</si>
  <si>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</si>
  <si>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</si>
  <si>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</si>
  <si>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</si>
  <si>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</si>
  <si>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</si>
  <si>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</si>
  <si>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</si>
  <si>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</si>
  <si>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</si>
  <si>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</si>
  <si>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</si>
  <si>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</si>
  <si>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</si>
  <si>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</si>
  <si>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</si>
  <si>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</si>
  <si>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</si>
  <si>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</si>
  <si>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</si>
  <si>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</si>
  <si>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</si>
  <si>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</si>
  <si>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</si>
  <si>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</si>
  <si>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</si>
  <si>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</si>
  <si>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</si>
  <si>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</si>
  <si>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</si>
  <si>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</si>
  <si>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</si>
  <si>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</si>
  <si>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</si>
  <si>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</si>
  <si>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sh:minExclusive^^xsd:integer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</si>
  <si>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</si>
  <si>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</si>
  <si>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</si>
  <si>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</si>
  <si>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</si>
  <si>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</si>
  <si>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</si>
  <si>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</si>
  <si>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</si>
  <si>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sh:pattern</t>
  </si>
  <si>
    <t>dash:viewer</t>
  </si>
  <si>
    <t>dash:editor</t>
  </si>
  <si>
    <t>Properties on Person</t>
  </si>
  <si>
    <t>dcat:accessURL</t>
  </si>
  <si>
    <t>access url</t>
  </si>
  <si>
    <t>The resource at the access URL may contain information about how to get the Dataset.</t>
  </si>
  <si>
    <t>sh:IRI</t>
  </si>
  <si>
    <t>dash:URIViewer</t>
  </si>
  <si>
    <t>dash:URIEditor</t>
  </si>
  <si>
    <t>dcatap:applicableLegislation</t>
  </si>
  <si>
    <t>Applicable Legislation</t>
  </si>
  <si>
    <t>dcat:byteSize</t>
  </si>
  <si>
    <t>byte size</t>
  </si>
  <si>
    <t>The FDP ref impl does not support the datatype xsd:nonNegativeInteger, so it is removed from the datatype column and replace with xsd:integer + sh:minExclusive 0</t>
  </si>
  <si>
    <t>sh:Literal</t>
  </si>
  <si>
    <t>xsd:integer</t>
  </si>
  <si>
    <t>dash:LiteralViewer</t>
  </si>
  <si>
    <t>dash:TextFieldEditor</t>
  </si>
  <si>
    <t>dct:description</t>
  </si>
  <si>
    <t>description</t>
  </si>
  <si>
    <t>This property can be repeated for parallel language versions of the description.</t>
  </si>
  <si>
    <t>dct:format</t>
  </si>
  <si>
    <t>format</t>
  </si>
  <si>
    <t>dct:license</t>
  </si>
  <si>
    <t>license</t>
  </si>
  <si>
    <t>dcat:mediaType</t>
  </si>
  <si>
    <t>media type</t>
  </si>
  <si>
    <t>dct:rights</t>
  </si>
  <si>
    <t>rights</t>
  </si>
  <si>
    <t>A statement that concerns all rights not addressed in fields License or Rights, such as copyright statements. Everything that is not covered with licece</t>
  </si>
  <si>
    <t>dct:title</t>
  </si>
  <si>
    <t>title</t>
  </si>
  <si>
    <t>gdi</t>
  </si>
  <si>
    <t>http://data.health-ri.nl/GDI/</t>
  </si>
  <si>
    <t>http://data.health-ri.nl/GDI/DistributionShape</t>
  </si>
  <si>
    <t>GDI Distribution.</t>
  </si>
  <si>
    <t>SHACL definitions for the GDI metadata model for Distribution.</t>
  </si>
  <si>
    <t>gdi:DistributionShape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</si>
</sst>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4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</fonts>
  <fills count="5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1" fillId="0" borderId="0" applyBorder="0" applyProtection="0"/>
    <xf numFmtId="164" fontId="29" fillId="0" borderId="0" applyBorder="0" applyProtection="0"/>
    <xf numFmtId="164" fontId="29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75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22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166" fontId="0" fillId="46" borderId="0" xfId="0" applyNumberFormat="1" applyFill="1"/>
    <xf numFmtId="0" fontId="0" fillId="0" borderId="4" xfId="0" applyBorder="1" applyAlignment="1">
      <alignment wrapText="1"/>
    </xf>
    <xf numFmtId="166" fontId="23" fillId="0" borderId="0" xfId="0" applyNumberFormat="1" applyFont="1" applyAlignment="1">
      <alignment wrapText="1"/>
    </xf>
    <xf numFmtId="0" fontId="24" fillId="0" borderId="4" xfId="0" applyFont="1" applyBorder="1" applyAlignment="1">
      <alignment wrapText="1"/>
    </xf>
    <xf numFmtId="166" fontId="24" fillId="0" borderId="0" xfId="0" applyNumberFormat="1" applyFont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29" fillId="0" borderId="0" xfId="0" applyFont="1"/>
    <xf numFmtId="0" fontId="29" fillId="0" borderId="0" xfId="0" applyFont="1" applyAlignment="1">
      <alignment wrapText="1"/>
    </xf>
    <xf numFmtId="0" fontId="30" fillId="49" borderId="0" xfId="0" applyFont="1" applyFill="1" applyAlignment="1">
      <alignment horizontal="left" vertical="center" readingOrder="1"/>
    </xf>
    <xf numFmtId="0" fontId="32" fillId="49" borderId="0" xfId="161" applyFont="1" applyFill="1" applyBorder="1" applyAlignment="1">
      <alignment horizontal="left" vertical="center" wrapText="1"/>
    </xf>
    <xf numFmtId="0" fontId="33" fillId="49" borderId="0" xfId="0" applyFont="1" applyFill="1" applyAlignment="1">
      <alignment horizontal="center" vertical="center" readingOrder="1"/>
    </xf>
    <xf numFmtId="0" fontId="30" fillId="49" borderId="0" xfId="0" applyFont="1" applyFill="1" applyAlignment="1">
      <alignment horizontal="center" vertical="center" readingOrder="1"/>
    </xf>
    <xf numFmtId="0" fontId="30" fillId="0" borderId="0" xfId="0" applyFont="1" applyAlignment="1">
      <alignment horizontal="left" vertical="center" readingOrder="1"/>
    </xf>
    <xf numFmtId="0" fontId="31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readingOrder="1"/>
    </xf>
    <xf numFmtId="0" fontId="30" fillId="0" borderId="0" xfId="0" applyFont="1" applyAlignment="1">
      <alignment horizontal="center" vertical="center" readingOrder="1"/>
    </xf>
    <xf numFmtId="0" fontId="30" fillId="0" borderId="0" xfId="0" applyFont="1" applyAlignment="1">
      <alignment horizontal="left" vertical="center" wrapText="1" readingOrder="1"/>
    </xf>
    <xf numFmtId="0" fontId="3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0" fillId="49" borderId="0" xfId="0" applyFill="1" applyAlignment="1">
      <alignment vertical="center"/>
    </xf>
    <xf numFmtId="0" fontId="29" fillId="49" borderId="0" xfId="0" applyFont="1" applyFill="1" applyAlignment="1">
      <alignment vertical="center" wrapText="1"/>
    </xf>
    <xf numFmtId="0" fontId="30" fillId="49" borderId="0" xfId="0" applyFont="1" applyFill="1" applyAlignment="1">
      <alignment horizontal="left" vertical="center" wrapText="1"/>
    </xf>
    <xf numFmtId="0" fontId="0" fillId="49" borderId="3" xfId="0" applyFill="1" applyBorder="1" applyAlignment="1">
      <alignment vertical="center" wrapText="1"/>
    </xf>
    <xf numFmtId="166" fontId="0" fillId="49" borderId="0" xfId="0" applyNumberFormat="1" applyFill="1" applyAlignment="1">
      <alignment vertical="center"/>
    </xf>
    <xf numFmtId="0" fontId="28" fillId="49" borderId="0" xfId="0" applyFont="1" applyFill="1" applyAlignment="1">
      <alignment vertical="center"/>
    </xf>
    <xf numFmtId="0" fontId="0" fillId="49" borderId="0" xfId="0" applyFill="1" applyAlignment="1">
      <alignment vertical="center" wrapText="1"/>
    </xf>
    <xf numFmtId="0" fontId="29" fillId="49" borderId="0" xfId="0" applyFont="1" applyFill="1" applyAlignment="1">
      <alignment vertical="center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4/02/skos/core" TargetMode="External" Type="http://schemas.openxmlformats.org/officeDocument/2006/relationships/hyperlink"/><Relationship Id="rId11" Target="http://www.w3.org/2006/vcard/ns" TargetMode="External" Type="http://schemas.openxmlformats.org/officeDocument/2006/relationships/hyperlink"/><Relationship Id="rId12" Target="http://www.w3.org/2001/XMLSchema" TargetMode="External" Type="http://schemas.openxmlformats.org/officeDocument/2006/relationships/hyperlink"/><Relationship Id="rId13" Target="https://data.sparna.fr/shapes-example/" TargetMode="External" Type="http://schemas.openxmlformats.org/officeDocument/2006/relationships/hyperlink"/><Relationship Id="rId14" Target="http://data.health-ri.nl/core/p2/" TargetMode="External" Type="http://schemas.openxmlformats.org/officeDocument/2006/relationships/hyperlink"/><Relationship Id="rId15" Target="http://datashapes.org/dash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healthdataportal.eu/ns/health" TargetMode="External" Type="http://schemas.openxmlformats.org/officeDocument/2006/relationships/hyperlink"/><Relationship Id="rId18" Target="http://www.w3.org/ns/adms" TargetMode="External" Type="http://schemas.openxmlformats.org/officeDocument/2006/relationships/hyperlink"/><Relationship Id="rId19" Target="http://spdx.org/rdf/ter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purl.org/dc/terms/" TargetMode="External" Type="http://schemas.openxmlformats.org/officeDocument/2006/relationships/hyperlink"/><Relationship Id="rId21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xmlns.com/foaf/0.1/" TargetMode="External" Type="http://schemas.openxmlformats.org/officeDocument/2006/relationships/hyperlink"/><Relationship Id="rId5" Target="http://www.w3.org/ns/org" TargetMode="External" Type="http://schemas.openxmlformats.org/officeDocument/2006/relationships/hyperlink"/><Relationship Id="rId6" Target="http://www.w3.org/2002/07/owl" TargetMode="External" Type="http://schemas.openxmlformats.org/officeDocument/2006/relationships/hyperlink"/><Relationship Id="rId7" Target="http://www.w3.org/ns/prov" TargetMode="External" Type="http://schemas.openxmlformats.org/officeDocument/2006/relationships/hyperlink"/><Relationship Id="rId8" Target="http://www.w3.org/1999/02/22-rdf-syntax-ns" TargetMode="External" Type="http://schemas.openxmlformats.org/officeDocument/2006/relationships/hyperlink"/><Relationship Id="rId9" Target="http://www.w3.org/2000/01/rdf-schema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Distribution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s://www.w3.org/TR/vocab-dcat/" TargetMode="External" Type="http://schemas.openxmlformats.org/officeDocument/2006/relationships/hyperlink"/><Relationship Id="rId3" Target="https://www.dublincore.org/specifications/dublin-core/dcmi-terms/" TargetMode="External" Type="http://schemas.openxmlformats.org/officeDocument/2006/relationships/hyperlink"/><Relationship Id="rId4" Target="https://www.dublincore.org/specifications/dublin-core/dcmi-terms/" TargetMode="External" Type="http://schemas.openxmlformats.org/officeDocument/2006/relationships/hyperlink"/><Relationship Id="rId5" Target="http://data.health-ri.nl/GDI/Distribution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95" workbookViewId="0">
      <selection activeCell="C23" sqref="C23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t="s">
        <v>27</v>
      </c>
      <c r="C14" s="3" t="s">
        <v>28</v>
      </c>
    </row>
    <row r="15" spans="1:3" x14ac:dyDescent="0.25">
      <c r="A15" t="s">
        <v>0</v>
      </c>
      <c r="B15" s="1" t="s">
        <v>29</v>
      </c>
      <c r="C15" s="4" t="s">
        <v>30</v>
      </c>
    </row>
    <row r="16" spans="1:3" x14ac:dyDescent="0.25">
      <c r="A16" s="47" t="s">
        <v>0</v>
      </c>
      <c r="B16" s="1" t="s">
        <v>31</v>
      </c>
      <c r="C16" s="20" t="s">
        <v>32</v>
      </c>
    </row>
    <row r="17" spans="1:3" x14ac:dyDescent="0.25">
      <c r="A17" s="47" t="s">
        <v>0</v>
      </c>
      <c r="B17" s="1" t="s">
        <v>33</v>
      </c>
      <c r="C17" s="20" t="s">
        <v>34</v>
      </c>
    </row>
    <row r="18" spans="1:3" x14ac:dyDescent="0.25">
      <c r="A18" s="47" t="s">
        <v>0</v>
      </c>
      <c r="B18" s="1" t="s">
        <v>35</v>
      </c>
      <c r="C18" s="20" t="s">
        <v>36</v>
      </c>
    </row>
    <row r="19" spans="1:3" x14ac:dyDescent="0.25">
      <c r="A19" s="47" t="s">
        <v>0</v>
      </c>
      <c r="B19" s="1" t="s">
        <v>37</v>
      </c>
      <c r="C19" s="20" t="s">
        <v>38</v>
      </c>
    </row>
    <row r="20" spans="1:3" x14ac:dyDescent="0.25">
      <c r="A20" s="47" t="s">
        <v>0</v>
      </c>
      <c r="B20" s="1" t="s">
        <v>39</v>
      </c>
      <c r="C20" s="20" t="s">
        <v>40</v>
      </c>
    </row>
    <row r="21" spans="1:3" x14ac:dyDescent="0.25">
      <c r="A21" s="47" t="s">
        <v>0</v>
      </c>
      <c r="B21" s="1" t="s">
        <v>1</v>
      </c>
      <c r="C21" s="20" t="s">
        <v>2</v>
      </c>
    </row>
    <row r="22" spans="1:3" x14ac:dyDescent="0.25">
      <c r="A22" t="s">
        <v>0</v>
      </c>
      <c r="B22" t="s">
        <v>41</v>
      </c>
      <c r="C22" t="s">
        <v>42</v>
      </c>
    </row>
    <row r="23" spans="1:3" x14ac:dyDescent="0.25">
      <c r="A23" s="47" t="s">
        <v>0</v>
      </c>
      <c r="B23" s="1" t="s">
        <v>161</v>
      </c>
      <c r="C23" s="20" t="s">
        <v>162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5" r:id="rId4" xr:uid="{00000000-0004-0000-0000-000004000000}"/>
    <hyperlink ref="C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5" r:id="rId13" xr:uid="{00000000-0004-0000-0000-00000D000000}"/>
    <hyperlink ref="C16" r:id="rId14" xr:uid="{E64DB88F-9F5E-A648-ABB9-02E5F033E816}"/>
    <hyperlink ref="C17" r:id="rId15" xr:uid="{9B141FE6-7A72-5049-ACCC-24002FF7FEB8}"/>
    <hyperlink ref="C18" r:id="rId16" xr:uid="{D057F275-3F3E-9B4C-9E2A-8AF7793B587D}"/>
    <hyperlink ref="C20" r:id="rId17" xr:uid="{1EBFD8CF-2735-AB46-AA25-D025E07F3C66}"/>
    <hyperlink ref="C21" r:id="rId18" xr:uid="{B9283F37-134B-D546-B21B-69E645E3B2B5}"/>
    <hyperlink ref="C19" r:id="rId19" xr:uid="{57BA6023-14A9-DE4B-A910-4186F9FEF907}"/>
    <hyperlink ref="C4" r:id="rId20" xr:uid="{AE3BCAC8-D574-4F5F-9FCB-1C0306CD119E}"/>
    <hyperlink ref="C23" r:id="rId21" xr:uid="{1D1E3DCC-3C26-4D2A-95C5-4727CB5C7601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B1" sqref="B1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43</v>
      </c>
      <c r="B1" s="20" t="s">
        <v>163</v>
      </c>
      <c r="F1" s="3"/>
    </row>
    <row r="2" spans="1:13" x14ac:dyDescent="0.25">
      <c r="A2" t="s">
        <v>44</v>
      </c>
      <c r="B2" t="s">
        <v>45</v>
      </c>
      <c r="F2" s="3"/>
    </row>
    <row r="3" spans="1:13" x14ac:dyDescent="0.25">
      <c r="A3" t="s">
        <v>46</v>
      </c>
      <c r="B3" s="47" t="s">
        <v>47</v>
      </c>
      <c r="F3" s="3"/>
    </row>
    <row r="4" spans="1:13" x14ac:dyDescent="0.25">
      <c r="A4" t="s">
        <v>48</v>
      </c>
      <c r="B4" s="47" t="s">
        <v>164</v>
      </c>
      <c r="F4" s="3"/>
    </row>
    <row r="5" spans="1:13" ht="26.4" x14ac:dyDescent="0.25">
      <c r="A5" t="s">
        <v>49</v>
      </c>
      <c r="B5" s="48" t="s">
        <v>165</v>
      </c>
      <c r="F5" s="3"/>
    </row>
    <row r="6" spans="1:13" x14ac:dyDescent="0.25">
      <c r="A6" t="s">
        <v>50</v>
      </c>
      <c r="B6" t="s">
        <v>51</v>
      </c>
      <c r="F6" s="3"/>
    </row>
    <row r="7" spans="1:13" x14ac:dyDescent="0.25">
      <c r="A7" t="s">
        <v>52</v>
      </c>
      <c r="B7" s="6">
        <f ca="1">NOW()</f>
        <v>45842.489010879632</v>
      </c>
      <c r="F7" s="3"/>
    </row>
    <row r="8" spans="1:13" x14ac:dyDescent="0.25">
      <c r="G8" s="7"/>
    </row>
    <row r="9" spans="1:13" s="8" customFormat="1" x14ac:dyDescent="0.25">
      <c r="A9" s="9" t="s">
        <v>53</v>
      </c>
      <c r="G9" s="10"/>
      <c r="H9" s="11"/>
      <c r="I9" s="11"/>
      <c r="K9" s="11"/>
    </row>
    <row r="10" spans="1:13" s="8" customFormat="1" x14ac:dyDescent="0.25">
      <c r="A10" s="9" t="s">
        <v>54</v>
      </c>
      <c r="D10" s="12" t="s">
        <v>55</v>
      </c>
      <c r="G10" s="10"/>
      <c r="H10" s="11"/>
      <c r="I10" s="11"/>
      <c r="K10" s="11"/>
    </row>
    <row r="12" spans="1:13" s="13" customFormat="1" ht="89.25" customHeight="1" x14ac:dyDescent="0.25">
      <c r="A12" s="13" t="s">
        <v>56</v>
      </c>
      <c r="B12" s="14" t="s">
        <v>57</v>
      </c>
      <c r="C12" s="14" t="s">
        <v>58</v>
      </c>
      <c r="D12" s="15" t="s">
        <v>59</v>
      </c>
      <c r="E12" s="15" t="s">
        <v>60</v>
      </c>
      <c r="F12" s="14" t="s">
        <v>61</v>
      </c>
      <c r="G12" s="14" t="s">
        <v>62</v>
      </c>
      <c r="H12" s="14" t="s">
        <v>63</v>
      </c>
      <c r="I12" s="14" t="s">
        <v>64</v>
      </c>
      <c r="J12" s="14" t="s">
        <v>65</v>
      </c>
      <c r="K12" s="14" t="s">
        <v>66</v>
      </c>
      <c r="L12" s="14" t="s">
        <v>67</v>
      </c>
      <c r="M12" s="16" t="s">
        <v>68</v>
      </c>
    </row>
    <row r="13" spans="1:13" ht="44.85" customHeight="1" x14ac:dyDescent="0.25">
      <c r="A13" s="17" t="s">
        <v>69</v>
      </c>
      <c r="B13" s="18" t="s">
        <v>46</v>
      </c>
      <c r="C13" s="18" t="s">
        <v>48</v>
      </c>
      <c r="D13" s="17" t="s">
        <v>70</v>
      </c>
      <c r="E13" s="17" t="s">
        <v>71</v>
      </c>
      <c r="F13" s="17" t="s">
        <v>72</v>
      </c>
      <c r="G13" s="18" t="s">
        <v>73</v>
      </c>
      <c r="H13" s="18" t="s">
        <v>74</v>
      </c>
      <c r="I13" s="18" t="s">
        <v>75</v>
      </c>
      <c r="J13" s="17" t="s">
        <v>76</v>
      </c>
      <c r="K13" s="18" t="s">
        <v>77</v>
      </c>
      <c r="L13" s="18" t="s">
        <v>78</v>
      </c>
      <c r="M13" s="19" t="s">
        <v>79</v>
      </c>
    </row>
    <row r="14" spans="1:13" x14ac:dyDescent="0.25">
      <c r="A14" s="48" t="s">
        <v>166</v>
      </c>
      <c r="B14" s="48" t="s">
        <v>47</v>
      </c>
      <c r="D14" s="5" t="s">
        <v>80</v>
      </c>
      <c r="E14" s="48" t="s">
        <v>81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4847B707-7E5C-4F0B-A81C-8476156E0937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tabSelected="1" zoomScale="95" workbookViewId="0">
      <pane xSplit="1" topLeftCell="B1" activePane="topRight" state="frozen"/>
      <selection activeCell="E13" sqref="E13"/>
      <selection pane="topRight" activeCell="B33" sqref="B33"/>
    </sheetView>
  </sheetViews>
  <sheetFormatPr defaultColWidth="8.88671875" defaultRowHeight="12.75" customHeight="1" x14ac:dyDescent="0.25"/>
  <cols>
    <col min="1" max="1" width="46" customWidth="1"/>
    <col min="2" max="2" width="41.44140625" style="5" customWidth="1"/>
    <col min="3" max="3" width="42.6640625" customWidth="1"/>
    <col min="4" max="4" width="26.88671875" style="23" customWidth="1"/>
    <col min="5" max="5" width="41.44140625" style="5" customWidth="1"/>
    <col min="6" max="6" width="41.109375" style="22" customWidth="1"/>
    <col min="7" max="7" width="14.44140625" style="24" customWidth="1"/>
    <col min="8" max="8" width="12" style="25" customWidth="1"/>
    <col min="9" max="9" width="20.109375" customWidth="1"/>
    <col min="10" max="12" width="21" customWidth="1"/>
    <col min="13" max="13" width="27.44140625" customWidth="1"/>
    <col min="14" max="16" width="26" hidden="1" customWidth="1"/>
    <col min="17" max="17" width="34.33203125" customWidth="1"/>
    <col min="18" max="18" width="36" hidden="1" customWidth="1"/>
    <col min="19" max="19" width="34.88671875" hidden="1" customWidth="1"/>
    <col min="20" max="20" width="34.88671875" customWidth="1"/>
    <col min="21" max="23" width="28.109375" style="5" customWidth="1"/>
    <col min="24" max="24" width="16.109375" customWidth="1"/>
    <col min="25" max="25" width="23.44140625" bestFit="1" customWidth="1"/>
    <col min="1022" max="1026" width="11.44140625" customWidth="1"/>
  </cols>
  <sheetData>
    <row r="1" spans="1:25" ht="13.2" x14ac:dyDescent="0.25">
      <c r="A1" t="s">
        <v>43</v>
      </c>
      <c r="B1" s="20" t="s">
        <v>163</v>
      </c>
      <c r="C1" s="5"/>
      <c r="Q1" s="5"/>
      <c r="T1" s="5"/>
    </row>
    <row r="3" spans="1:25" s="8" customFormat="1" ht="13.2" x14ac:dyDescent="0.25">
      <c r="A3" s="9" t="s">
        <v>82</v>
      </c>
      <c r="B3" s="10"/>
      <c r="D3" s="26"/>
      <c r="F3" s="27"/>
      <c r="G3" s="28"/>
      <c r="H3" s="28"/>
      <c r="R3" s="11"/>
      <c r="S3" s="11"/>
      <c r="U3" s="11"/>
      <c r="V3" s="11"/>
      <c r="W3" s="11"/>
    </row>
    <row r="4" spans="1:25" ht="24" customHeight="1" x14ac:dyDescent="0.25">
      <c r="D4" s="29"/>
      <c r="G4" s="30"/>
      <c r="R4" s="5"/>
    </row>
    <row r="5" spans="1:25" s="14" customFormat="1" ht="79.2" x14ac:dyDescent="0.25">
      <c r="A5" s="14" t="s">
        <v>83</v>
      </c>
      <c r="B5" s="14" t="s">
        <v>84</v>
      </c>
      <c r="C5" s="14" t="s">
        <v>85</v>
      </c>
      <c r="D5" s="31" t="s">
        <v>86</v>
      </c>
      <c r="E5" s="14" t="s">
        <v>87</v>
      </c>
      <c r="F5" s="16" t="s">
        <v>88</v>
      </c>
      <c r="G5" s="32" t="s">
        <v>89</v>
      </c>
      <c r="H5" s="32" t="s">
        <v>90</v>
      </c>
      <c r="I5" s="14" t="s">
        <v>91</v>
      </c>
      <c r="J5" s="14" t="s">
        <v>92</v>
      </c>
      <c r="L5" s="14" t="s">
        <v>93</v>
      </c>
      <c r="M5" s="14" t="s">
        <v>94</v>
      </c>
      <c r="N5" s="14" t="s">
        <v>95</v>
      </c>
      <c r="O5" s="14" t="s">
        <v>96</v>
      </c>
      <c r="P5" s="14" t="s">
        <v>97</v>
      </c>
      <c r="Q5" s="14" t="s">
        <v>98</v>
      </c>
      <c r="R5" s="14" t="s">
        <v>99</v>
      </c>
      <c r="S5" s="14" t="s">
        <v>100</v>
      </c>
      <c r="T5" s="14" t="s">
        <v>101</v>
      </c>
      <c r="U5" s="14" t="s">
        <v>102</v>
      </c>
      <c r="V5" s="14" t="s">
        <v>103</v>
      </c>
    </row>
    <row r="6" spans="1:25" s="33" customFormat="1" ht="26.4" x14ac:dyDescent="0.25">
      <c r="A6" s="33" t="s">
        <v>104</v>
      </c>
      <c r="B6" s="33" t="s">
        <v>105</v>
      </c>
      <c r="C6" s="33" t="s">
        <v>106</v>
      </c>
      <c r="D6" s="34" t="s">
        <v>107</v>
      </c>
      <c r="E6" s="33" t="s">
        <v>108</v>
      </c>
      <c r="F6" s="35" t="s">
        <v>109</v>
      </c>
      <c r="G6" s="36"/>
      <c r="H6" s="36"/>
    </row>
    <row r="7" spans="1:25" ht="39.6" x14ac:dyDescent="0.25">
      <c r="A7" s="37" t="s">
        <v>69</v>
      </c>
      <c r="B7" s="38" t="s">
        <v>110</v>
      </c>
      <c r="C7" s="37" t="s">
        <v>111</v>
      </c>
      <c r="D7" s="39" t="s">
        <v>112</v>
      </c>
      <c r="E7" s="37" t="s">
        <v>113</v>
      </c>
      <c r="F7" s="40" t="s">
        <v>114</v>
      </c>
      <c r="G7" s="41" t="s">
        <v>115</v>
      </c>
      <c r="H7" s="41" t="s">
        <v>116</v>
      </c>
      <c r="I7" s="38" t="s">
        <v>72</v>
      </c>
      <c r="J7" s="38" t="s">
        <v>117</v>
      </c>
      <c r="K7" s="38" t="s">
        <v>118</v>
      </c>
      <c r="L7" s="18" t="s">
        <v>119</v>
      </c>
      <c r="M7" s="17" t="s">
        <v>120</v>
      </c>
      <c r="N7" s="38" t="s">
        <v>121</v>
      </c>
      <c r="O7" s="38" t="s">
        <v>122</v>
      </c>
      <c r="P7" s="38" t="s">
        <v>123</v>
      </c>
      <c r="Q7" s="18" t="s">
        <v>124</v>
      </c>
      <c r="R7" s="17" t="s">
        <v>76</v>
      </c>
      <c r="S7" s="38" t="s">
        <v>125</v>
      </c>
      <c r="T7" s="38" t="s">
        <v>126</v>
      </c>
      <c r="U7" s="38" t="s">
        <v>127</v>
      </c>
      <c r="V7" s="38" t="s">
        <v>125</v>
      </c>
      <c r="W7" s="38" t="s">
        <v>128</v>
      </c>
      <c r="X7" s="38" t="s">
        <v>129</v>
      </c>
      <c r="Y7" s="38" t="s">
        <v>130</v>
      </c>
    </row>
    <row r="8" spans="1:25" s="42" customFormat="1" ht="40.5" customHeight="1" x14ac:dyDescent="0.25">
      <c r="A8" s="42" t="s">
        <v>131</v>
      </c>
      <c r="D8" s="43"/>
      <c r="F8" s="44"/>
      <c r="G8" s="45"/>
      <c r="H8" s="45"/>
      <c r="Q8" s="46"/>
      <c r="U8" s="46"/>
      <c r="V8" s="46"/>
      <c r="W8" s="46"/>
    </row>
    <row r="9" spans="1:25" s="59" customFormat="1" ht="28.8" x14ac:dyDescent="0.25">
      <c r="A9" s="59" t="str">
        <f t="shared" ref="A9:A17" si="0">CONCATENATE(B9,"#",C9)</f>
        <v>gdi:DistributionShape#dcat:accessURL</v>
      </c>
      <c r="B9" s="60" t="s">
        <v>166</v>
      </c>
      <c r="C9" s="53" t="s">
        <v>132</v>
      </c>
      <c r="D9" s="53" t="s">
        <v>133</v>
      </c>
      <c r="E9" s="57" t="s">
        <v>134</v>
      </c>
      <c r="F9" s="61"/>
      <c r="G9" s="55">
        <v>1</v>
      </c>
      <c r="H9" s="62"/>
      <c r="I9" s="63" t="s">
        <v>135</v>
      </c>
      <c r="L9" s="56"/>
      <c r="U9" s="64"/>
      <c r="V9" s="64"/>
      <c r="W9" s="64"/>
      <c r="X9" s="65" t="s">
        <v>136</v>
      </c>
      <c r="Y9" s="65" t="s">
        <v>137</v>
      </c>
    </row>
    <row r="10" spans="1:25" s="67" customFormat="1" ht="14.4" x14ac:dyDescent="0.25">
      <c r="A10" s="67" t="str">
        <f t="shared" si="0"/>
        <v>gdi:DistributionShape#dcatap:applicableLegislation</v>
      </c>
      <c r="B10" s="68" t="s">
        <v>166</v>
      </c>
      <c r="C10" s="49" t="s">
        <v>138</v>
      </c>
      <c r="D10" s="49" t="s">
        <v>139</v>
      </c>
      <c r="E10" s="69"/>
      <c r="F10" s="70"/>
      <c r="G10" s="51">
        <v>1</v>
      </c>
      <c r="H10" s="71"/>
      <c r="I10" s="72" t="s">
        <v>135</v>
      </c>
      <c r="L10" s="52"/>
      <c r="U10" s="73"/>
      <c r="V10" s="73"/>
      <c r="W10" s="73"/>
      <c r="X10" s="74" t="s">
        <v>136</v>
      </c>
      <c r="Y10" s="74" t="s">
        <v>137</v>
      </c>
    </row>
    <row r="11" spans="1:25" s="59" customFormat="1" ht="52.8" x14ac:dyDescent="0.25">
      <c r="A11" s="59" t="str">
        <f t="shared" si="0"/>
        <v>gdi:DistributionShape#dcat:byteSize</v>
      </c>
      <c r="B11" s="60" t="s">
        <v>166</v>
      </c>
      <c r="C11" s="58" t="s">
        <v>140</v>
      </c>
      <c r="D11" s="53" t="s">
        <v>141</v>
      </c>
      <c r="E11" s="57"/>
      <c r="F11" s="61" t="s">
        <v>142</v>
      </c>
      <c r="G11" s="55">
        <v>1</v>
      </c>
      <c r="H11" s="62">
        <v>1</v>
      </c>
      <c r="I11" s="66" t="s">
        <v>143</v>
      </c>
      <c r="J11" s="56" t="s">
        <v>144</v>
      </c>
      <c r="K11" s="56">
        <v>0</v>
      </c>
      <c r="U11" s="64"/>
      <c r="V11" s="64"/>
      <c r="W11" s="64"/>
      <c r="X11" s="65" t="s">
        <v>145</v>
      </c>
      <c r="Y11" s="65" t="s">
        <v>146</v>
      </c>
    </row>
    <row r="12" spans="1:25" s="67" customFormat="1" ht="28.8" x14ac:dyDescent="0.25">
      <c r="A12" s="67" t="str">
        <f t="shared" si="0"/>
        <v>gdi:DistributionShape#dct:description</v>
      </c>
      <c r="B12" s="68" t="s">
        <v>166</v>
      </c>
      <c r="C12" s="49" t="s">
        <v>147</v>
      </c>
      <c r="D12" s="49" t="s">
        <v>148</v>
      </c>
      <c r="E12" s="69" t="s">
        <v>149</v>
      </c>
      <c r="F12" s="70"/>
      <c r="G12" s="51"/>
      <c r="H12" s="71"/>
      <c r="I12" s="72" t="s">
        <v>143</v>
      </c>
      <c r="L12" s="52"/>
      <c r="U12" s="73"/>
      <c r="V12" s="73"/>
      <c r="W12" s="73"/>
      <c r="X12" s="74" t="s">
        <v>145</v>
      </c>
      <c r="Y12" s="74" t="s">
        <v>146</v>
      </c>
    </row>
    <row r="13" spans="1:25" s="59" customFormat="1" ht="14.4" x14ac:dyDescent="0.25">
      <c r="A13" s="59" t="str">
        <f t="shared" si="0"/>
        <v>gdi:DistributionShape#dct:format</v>
      </c>
      <c r="B13" s="60" t="s">
        <v>166</v>
      </c>
      <c r="C13" s="53" t="s">
        <v>150</v>
      </c>
      <c r="D13" s="53" t="s">
        <v>151</v>
      </c>
      <c r="E13" s="57"/>
      <c r="F13" s="61"/>
      <c r="G13" s="55">
        <v>1</v>
      </c>
      <c r="H13" s="62">
        <v>1</v>
      </c>
      <c r="I13" s="63" t="s">
        <v>135</v>
      </c>
      <c r="L13" s="56"/>
      <c r="U13" s="64"/>
      <c r="V13" s="64"/>
      <c r="W13" s="64"/>
      <c r="X13" s="65" t="s">
        <v>136</v>
      </c>
      <c r="Y13" s="65" t="s">
        <v>137</v>
      </c>
    </row>
    <row r="14" spans="1:25" s="67" customFormat="1" ht="14.4" x14ac:dyDescent="0.25">
      <c r="A14" s="67" t="str">
        <f t="shared" si="0"/>
        <v>gdi:DistributionShape#dct:license</v>
      </c>
      <c r="B14" s="68" t="s">
        <v>166</v>
      </c>
      <c r="C14" s="49" t="s">
        <v>152</v>
      </c>
      <c r="D14" s="49" t="s">
        <v>153</v>
      </c>
      <c r="E14" s="50"/>
      <c r="F14" s="70"/>
      <c r="G14" s="51">
        <v>1</v>
      </c>
      <c r="H14" s="71">
        <v>1</v>
      </c>
      <c r="I14" s="72" t="s">
        <v>135</v>
      </c>
      <c r="L14" s="52"/>
      <c r="U14" s="73"/>
      <c r="V14" s="73"/>
      <c r="W14" s="73"/>
      <c r="X14" s="74" t="s">
        <v>136</v>
      </c>
      <c r="Y14" s="74" t="s">
        <v>137</v>
      </c>
    </row>
    <row r="15" spans="1:25" s="59" customFormat="1" ht="14.4" x14ac:dyDescent="0.25">
      <c r="A15" s="59" t="str">
        <f t="shared" si="0"/>
        <v>gdi:DistributionShape#dcat:mediaType</v>
      </c>
      <c r="B15" s="60" t="s">
        <v>166</v>
      </c>
      <c r="C15" s="53" t="s">
        <v>154</v>
      </c>
      <c r="D15" s="53" t="s">
        <v>155</v>
      </c>
      <c r="E15" s="54"/>
      <c r="F15" s="61"/>
      <c r="G15" s="55"/>
      <c r="H15" s="62">
        <v>1</v>
      </c>
      <c r="I15" s="63" t="s">
        <v>135</v>
      </c>
      <c r="L15" s="56"/>
      <c r="U15" s="64"/>
      <c r="V15" s="64"/>
      <c r="W15" s="64"/>
      <c r="X15" s="65" t="s">
        <v>136</v>
      </c>
      <c r="Y15" s="65" t="s">
        <v>137</v>
      </c>
    </row>
    <row r="16" spans="1:25" s="67" customFormat="1" ht="57.6" x14ac:dyDescent="0.25">
      <c r="A16" s="67" t="str">
        <f t="shared" si="0"/>
        <v>gdi:DistributionShape#dct:rights</v>
      </c>
      <c r="B16" s="68" t="s">
        <v>166</v>
      </c>
      <c r="C16" s="49" t="s">
        <v>156</v>
      </c>
      <c r="D16" s="49" t="s">
        <v>157</v>
      </c>
      <c r="E16" s="69" t="s">
        <v>158</v>
      </c>
      <c r="F16" s="70"/>
      <c r="G16" s="51">
        <v>1</v>
      </c>
      <c r="H16" s="71">
        <v>1</v>
      </c>
      <c r="I16" s="74" t="s">
        <v>135</v>
      </c>
      <c r="L16" s="52"/>
      <c r="U16" s="73"/>
      <c r="V16" s="73"/>
      <c r="W16" s="73"/>
      <c r="X16" s="74" t="s">
        <v>136</v>
      </c>
      <c r="Y16" s="74" t="s">
        <v>137</v>
      </c>
    </row>
    <row r="17" spans="1:25" s="59" customFormat="1" ht="28.8" x14ac:dyDescent="0.25">
      <c r="A17" s="59" t="str">
        <f t="shared" si="0"/>
        <v>gdi:DistributionShape#dct:title</v>
      </c>
      <c r="B17" s="60" t="s">
        <v>166</v>
      </c>
      <c r="C17" s="53" t="s">
        <v>159</v>
      </c>
      <c r="D17" s="53" t="s">
        <v>160</v>
      </c>
      <c r="E17" s="57" t="s">
        <v>149</v>
      </c>
      <c r="F17" s="61"/>
      <c r="G17" s="55"/>
      <c r="H17" s="62"/>
      <c r="I17" s="65" t="s">
        <v>143</v>
      </c>
      <c r="L17" s="56"/>
      <c r="U17" s="64"/>
      <c r="V17" s="64"/>
      <c r="W17" s="64"/>
      <c r="X17" s="65" t="s">
        <v>145</v>
      </c>
      <c r="Y17" s="65" t="s">
        <v>146</v>
      </c>
    </row>
  </sheetData>
  <conditionalFormatting sqref="G9:G17">
    <cfRule type="cellIs" dxfId="1" priority="1" operator="greaterThan">
      <formula>"reviewd"</formula>
    </cfRule>
    <cfRule type="cellIs" dxfId="0" priority="2" operator="equal">
      <formula>"needs review"</formula>
    </cfRule>
  </conditionalFormatting>
  <dataValidations count="1">
    <dataValidation type="list" allowBlank="1" showInputMessage="1" showErrorMessage="1" sqref="G16:G17 G9:G12" xr:uid="{EDC952CC-97B4-994F-AA14-28A44C65C7A2}">
      <formula1>"0..n, 0..1, 1, 1..n"</formula1>
    </dataValidation>
  </dataValidations>
  <hyperlinks>
    <hyperlink ref="D7" r:id="rId1" xr:uid="{00000000-0004-0000-0200-000001000000}"/>
    <hyperlink ref="C9" r:id="rId2" location="Property:distribution_accessurl" xr:uid="{DD921561-5282-EC4F-A210-6BA7C3349004}"/>
    <hyperlink ref="C14" r:id="rId3" location="terms-license" xr:uid="{3E72892B-FB76-A148-AD80-8A2C3BB661EF}"/>
    <hyperlink ref="C16" r:id="rId4" location="terms-rights" xr:uid="{7F73E49C-32B2-4546-80F3-40E53493DB21}"/>
    <hyperlink ref="B1" r:id="rId5" xr:uid="{8B1A5D43-A45F-424D-B3B8-EF145E88FDB0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_Flow_SignoffStatus xmlns="cfc87205-1831-4b6c-a7b4-76d40079a43e" xsi:nil="true"/>
    <Categorie xmlns="cfc87205-1831-4b6c-a7b4-76d40079a43e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Props1.xml><?xml version="1.0" encoding="utf-8"?>
<ds:datastoreItem xmlns:ds="http://schemas.openxmlformats.org/officeDocument/2006/customXml" ds:itemID="{9AF0D4BE-F0F3-4B03-A8BD-9CD4C60B55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8A4FD4-9C74-4788-AC27-9C2192995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AAEB16-68DD-4D0B-ABEE-F5FFA1FFD6CA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2025-07-04T09:44:15Z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
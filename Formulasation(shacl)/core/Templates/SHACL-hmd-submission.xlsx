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123" documentId="13_ncr:1_{67D697DE-5446-C941-BDB7-13D5AA62327A}" xr6:coauthVersionLast="47" xr6:coauthVersionMax="47" xr10:uidLastSave="{7CF37916-B06B-4BF8-927E-532715D75E61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5" i="3"/>
  <c r="A14" i="3"/>
  <c r="A13" i="3"/>
  <c r="A12" i="3"/>
  <c r="A11" i="3"/>
  <c r="A10" i="3"/>
  <c r="A9" i="3"/>
  <c r="B7" i="2"/>
</calcChain>
</file>

<file path=xl/sharedStrings.xml><?xml version="1.0" encoding="utf-8"?>
<sst xmlns="http://schemas.openxmlformats.org/spreadsheetml/2006/main" count="227" uniqueCount="168">
  <si>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</si>
  <si>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</si>
  <si>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</si>
  <si>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</si>
  <si>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</si>
  <si>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</si>
  <si>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</si>
  <si>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</si>
  <si>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</si>
  <si>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</si>
  <si>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</si>
  <si>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</si>
  <si>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</si>
  <si>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</si>
  <si>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</si>
  <si>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</si>
  <si>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</si>
  <si>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</si>
  <si>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</si>
  <si>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</si>
  <si>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</si>
  <si>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</si>
  <si>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</si>
  <si>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</si>
  <si>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</si>
  <si>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</si>
  <si>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</si>
  <si>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</si>
  <si>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</si>
  <si>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</si>
  <si>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</si>
  <si>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</si>
  <si>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</si>
  <si>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</si>
  <si>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</si>
  <si>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</si>
  <si>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</si>
  <si>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</si>
  <si>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</si>
  <si>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</si>
  <si>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</si>
  <si>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</si>
  <si>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</si>
  <si>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</si>
  <si>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</si>
  <si>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</si>
  <si>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</si>
  <si>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</si>
  <si>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</si>
  <si>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</si>
  <si>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</si>
  <si>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</si>
  <si>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</si>
  <si>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</si>
  <si>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</si>
  <si>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</si>
  <si>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</si>
  <si>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</si>
  <si>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</si>
  <si>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</si>
  <si>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</si>
  <si>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</si>
  <si>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</si>
  <si>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</si>
  <si>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</si>
  <si>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</si>
  <si>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</si>
  <si>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</si>
  <si>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</si>
  <si>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</si>
  <si>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</si>
  <si>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</si>
  <si>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</si>
  <si>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</si>
  <si>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</si>
  <si>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</si>
  <si>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</si>
  <si>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</si>
  <si>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</si>
  <si>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</si>
  <si>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</si>
  <si>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</si>
  <si>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</si>
  <si>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</si>
  <si>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</si>
  <si>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</si>
  <si>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</si>
  <si>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</si>
  <si>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</si>
  <si>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</si>
  <si>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</si>
  <si>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</si>
  <si>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</si>
  <si>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</si>
  <si>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</si>
  <si>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</si>
  <si>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</si>
  <si>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</si>
  <si>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</si>
  <si>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</si>
  <si>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</si>
  <si>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</si>
  <si>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</si>
  <si>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</si>
  <si>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</si>
  <si>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</si>
  <si>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</si>
  <si>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</si>
  <si>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</si>
  <si>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</si>
  <si>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</si>
  <si>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</si>
  <si>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</si>
  <si>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</si>
  <si>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sh:minExclusive^^xsd:integer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</si>
  <si>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</si>
  <si>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</si>
  <si>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</si>
  <si>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</si>
  <si>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</si>
  <si>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</si>
  <si>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</si>
  <si>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</si>
  <si>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</si>
  <si>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</si>
  <si>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</si>
  <si>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</si>
  <si>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</si>
  <si>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</si>
  <si>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</si>
  <si>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</si>
  <si>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</si>
  <si>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</si>
  <si>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dash:TextFieldEditor</t>
  </si>
  <si>
    <t>gdi:HMDsubmissionShape</t>
  </si>
  <si>
    <t>HMD submission</t>
  </si>
  <si>
    <t>GDI HMD submission</t>
  </si>
  <si>
    <t>SHACL definitions for the GDI metadata - HMD submission class</t>
  </si>
  <si>
    <t>HMDSubmission</t>
  </si>
  <si>
    <t>fg</t>
  </si>
  <si>
    <t>Data Center</t>
  </si>
  <si>
    <t>Clinical Center</t>
  </si>
  <si>
    <t>Institution Clinical</t>
  </si>
  <si>
    <t>Institution Data Center</t>
  </si>
  <si>
    <t>Publication description</t>
  </si>
  <si>
    <t>Collection</t>
  </si>
  <si>
    <t>Research Consortia</t>
  </si>
  <si>
    <t>https://fairgenomes.org/fairgenomes-semantic-model/generated/resource/FG_</t>
  </si>
  <si>
    <t>fg:0000753</t>
  </si>
  <si>
    <t>fg:0000754</t>
  </si>
  <si>
    <t>fg:0000755</t>
  </si>
  <si>
    <t>fg:0000756</t>
  </si>
  <si>
    <t>fg:0000757</t>
  </si>
  <si>
    <t>fg:0000751</t>
  </si>
  <si>
    <t>fg:0000758</t>
  </si>
  <si>
    <t>Refers to the Department in charge of Data Production and/ or analysis</t>
  </si>
  <si>
    <t>Refers to the Clinical Department in charge of the patient</t>
  </si>
  <si>
    <t>Linked to the instance of publication_doi; should provide a human-readably description of the publication</t>
  </si>
  <si>
    <t>Identifies collection (Biobank, Collection, Cohort, other types of projects) in which data are part of</t>
  </si>
  <si>
    <t>Identifies Research Consortia Involved</t>
  </si>
  <si>
    <t>Identifies the Institution/s involved. Use ROR.</t>
  </si>
  <si>
    <t>fg:0000750</t>
  </si>
  <si>
    <t>gdi</t>
  </si>
  <si>
    <t>http://data.health-ri.nl/GDI/</t>
  </si>
  <si>
    <t>http://data.health-ri.nl/GDI/HMDSubmissionShape</t>
  </si>
  <si>
    <t>Submitter Role</t>
  </si>
  <si>
    <t>Role of the Submitter (e.g. Oncologist in charge of the patient, Research Project PI).</t>
  </si>
  <si>
    <t>fg:0000752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</si>
</sst>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3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color rgb="FF473821"/>
      <name val="Calibri"/>
      <family val="2"/>
      <scheme val="maj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5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32" fillId="49" borderId="0" xfId="0" applyFont="1" applyFill="1" applyAlignment="1">
      <alignment horizontal="center" vertical="center" readingOrder="1"/>
    </xf>
    <xf numFmtId="0" fontId="30" fillId="49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  <xf numFmtId="0" fontId="30" fillId="49" borderId="0" xfId="161" applyFont="1" applyFill="1" applyBorder="1" applyAlignment="1">
      <alignment horizontal="left"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HMDSubmiss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HMDSubmiss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7" t="s">
        <v>0</v>
      </c>
      <c r="B16" s="1" t="s">
        <v>31</v>
      </c>
      <c r="C16" s="20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s="1" t="s">
        <v>139</v>
      </c>
      <c r="C22" t="s">
        <v>147</v>
      </c>
    </row>
    <row r="23" spans="1:3" x14ac:dyDescent="0.25">
      <c r="A23" s="47" t="s">
        <v>0</v>
      </c>
      <c r="B23" s="1" t="s">
        <v>162</v>
      </c>
      <c r="C23" s="20" t="s">
        <v>163</v>
      </c>
    </row>
    <row r="42" spans="6:15" x14ac:dyDescent="0.25">
      <c r="F42" s="63"/>
      <c r="G42" s="63"/>
      <c r="H42" s="63"/>
      <c r="I42" s="63"/>
      <c r="J42" s="63"/>
      <c r="K42" s="63"/>
      <c r="L42" s="63"/>
      <c r="M42" s="63"/>
      <c r="N42" s="63"/>
      <c r="O42" s="63"/>
    </row>
    <row r="43" spans="6:15" x14ac:dyDescent="0.25">
      <c r="F43" s="63"/>
    </row>
    <row r="44" spans="6:15" x14ac:dyDescent="0.25">
      <c r="F44" s="63"/>
      <c r="G44" s="63"/>
      <c r="H44" s="63"/>
      <c r="I44" s="63"/>
      <c r="J44" s="63"/>
      <c r="K44" s="63"/>
      <c r="L44" s="63"/>
      <c r="M44" s="63"/>
      <c r="N44" s="63"/>
      <c r="O44" s="63"/>
    </row>
    <row r="45" spans="6:15" x14ac:dyDescent="0.25">
      <c r="F45" s="63"/>
    </row>
    <row r="46" spans="6:15" x14ac:dyDescent="0.25">
      <c r="F46" s="63"/>
      <c r="G46" s="63"/>
      <c r="H46" s="63"/>
      <c r="I46" s="63"/>
      <c r="J46" s="63"/>
      <c r="K46" s="63"/>
      <c r="L46" s="63"/>
      <c r="M46" s="63"/>
      <c r="N46" s="63"/>
      <c r="O46" s="63"/>
    </row>
    <row r="47" spans="6:15" x14ac:dyDescent="0.25">
      <c r="F47" s="63"/>
    </row>
    <row r="48" spans="6:15" x14ac:dyDescent="0.25">
      <c r="F48" s="63"/>
      <c r="G48" s="63"/>
      <c r="H48" s="63"/>
      <c r="I48" s="63"/>
      <c r="J48" s="63"/>
      <c r="K48" s="63"/>
      <c r="L48" s="63"/>
      <c r="M48" s="63"/>
      <c r="N48" s="63"/>
      <c r="O48" s="63"/>
    </row>
    <row r="49" spans="6:15" x14ac:dyDescent="0.25">
      <c r="F49" s="63"/>
    </row>
    <row r="50" spans="6:15" x14ac:dyDescent="0.25">
      <c r="F50" s="63"/>
      <c r="G50" s="63"/>
      <c r="H50" s="63"/>
      <c r="I50" s="63"/>
      <c r="J50" s="63"/>
      <c r="K50" s="63"/>
      <c r="L50" s="63"/>
      <c r="M50" s="63"/>
      <c r="N50" s="63"/>
      <c r="O50" s="63"/>
    </row>
    <row r="51" spans="6:15" x14ac:dyDescent="0.25">
      <c r="F51" s="63"/>
    </row>
    <row r="52" spans="6:15" x14ac:dyDescent="0.25">
      <c r="F52" s="63"/>
      <c r="G52" s="63"/>
      <c r="H52" s="63"/>
      <c r="I52" s="63"/>
      <c r="J52" s="63"/>
      <c r="K52" s="63"/>
      <c r="L52" s="63"/>
      <c r="M52" s="63"/>
      <c r="N52" s="63"/>
      <c r="O52" s="63"/>
    </row>
    <row r="53" spans="6:15" x14ac:dyDescent="0.25">
      <c r="F53" s="63"/>
    </row>
    <row r="54" spans="6:15" x14ac:dyDescent="0.25">
      <c r="F54" s="63"/>
      <c r="G54" s="63"/>
      <c r="H54" s="63"/>
      <c r="I54" s="63"/>
      <c r="J54" s="63"/>
      <c r="K54" s="63"/>
      <c r="L54" s="63"/>
      <c r="M54" s="63"/>
      <c r="N54" s="63"/>
      <c r="O54" s="63"/>
    </row>
    <row r="55" spans="6:15" x14ac:dyDescent="0.25">
      <c r="F55" s="63"/>
    </row>
    <row r="56" spans="6:15" x14ac:dyDescent="0.25">
      <c r="F56" s="63"/>
      <c r="G56" s="63"/>
      <c r="H56" s="63"/>
      <c r="I56" s="63"/>
      <c r="J56" s="63"/>
      <c r="K56" s="63"/>
      <c r="L56" s="63"/>
      <c r="M56" s="63"/>
      <c r="N56" s="63"/>
      <c r="O56" s="63"/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E3BCAC8-D574-4F5F-9FCB-1C0306CD119E}"/>
    <hyperlink ref="C23" r:id="rId21" xr:uid="{89E46E81-6FF3-4BDE-9871-BFC2B9E2074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E14" sqref="E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164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7" t="s">
        <v>135</v>
      </c>
      <c r="F3" s="3"/>
    </row>
    <row r="4" spans="1:13" x14ac:dyDescent="0.25">
      <c r="A4" t="s">
        <v>45</v>
      </c>
      <c r="B4" t="s">
        <v>136</v>
      </c>
      <c r="F4" s="3"/>
    </row>
    <row r="5" spans="1:13" ht="26.4" x14ac:dyDescent="0.25">
      <c r="A5" t="s">
        <v>46</v>
      </c>
      <c r="B5" s="5" t="s">
        <v>137</v>
      </c>
      <c r="F5" s="3"/>
    </row>
    <row r="6" spans="1:13" x14ac:dyDescent="0.25">
      <c r="A6" t="s">
        <v>47</v>
      </c>
      <c r="B6" t="s">
        <v>48</v>
      </c>
      <c r="F6" s="3"/>
    </row>
    <row r="7" spans="1:13" x14ac:dyDescent="0.25">
      <c r="A7" t="s">
        <v>49</v>
      </c>
      <c r="B7" s="6">
        <f ca="1">NOW()</f>
        <v>45849.497614004627</v>
      </c>
      <c r="F7" s="3"/>
    </row>
    <row r="8" spans="1:13" x14ac:dyDescent="0.25">
      <c r="G8" s="7"/>
    </row>
    <row r="9" spans="1:13" s="8" customFormat="1" x14ac:dyDescent="0.25">
      <c r="A9" s="9" t="s">
        <v>50</v>
      </c>
      <c r="G9" s="10"/>
      <c r="H9" s="11"/>
      <c r="I9" s="11"/>
      <c r="K9" s="11"/>
    </row>
    <row r="10" spans="1:13" s="8" customFormat="1" x14ac:dyDescent="0.25">
      <c r="A10" s="9" t="s">
        <v>51</v>
      </c>
      <c r="D10" s="12" t="s">
        <v>52</v>
      </c>
      <c r="G10" s="10"/>
      <c r="H10" s="11"/>
      <c r="I10" s="11"/>
      <c r="K10" s="11"/>
    </row>
    <row r="12" spans="1:13" s="13" customFormat="1" ht="89.25" customHeight="1" x14ac:dyDescent="0.25">
      <c r="A12" s="13" t="s">
        <v>53</v>
      </c>
      <c r="B12" s="14" t="s">
        <v>54</v>
      </c>
      <c r="C12" s="14" t="s">
        <v>55</v>
      </c>
      <c r="D12" s="15" t="s">
        <v>56</v>
      </c>
      <c r="E12" s="15" t="s">
        <v>57</v>
      </c>
      <c r="F12" s="14" t="s">
        <v>58</v>
      </c>
      <c r="G12" s="14" t="s">
        <v>59</v>
      </c>
      <c r="H12" s="14" t="s">
        <v>60</v>
      </c>
      <c r="I12" s="14" t="s">
        <v>61</v>
      </c>
      <c r="J12" s="14" t="s">
        <v>62</v>
      </c>
      <c r="K12" s="14" t="s">
        <v>63</v>
      </c>
      <c r="L12" s="14" t="s">
        <v>64</v>
      </c>
      <c r="M12" s="16" t="s">
        <v>65</v>
      </c>
    </row>
    <row r="13" spans="1:13" ht="44.85" customHeight="1" x14ac:dyDescent="0.25">
      <c r="A13" s="17" t="s">
        <v>66</v>
      </c>
      <c r="B13" s="18" t="s">
        <v>44</v>
      </c>
      <c r="C13" s="18" t="s">
        <v>45</v>
      </c>
      <c r="D13" s="17" t="s">
        <v>67</v>
      </c>
      <c r="E13" s="17" t="s">
        <v>68</v>
      </c>
      <c r="F13" s="17" t="s">
        <v>69</v>
      </c>
      <c r="G13" s="18" t="s">
        <v>70</v>
      </c>
      <c r="H13" s="18" t="s">
        <v>71</v>
      </c>
      <c r="I13" s="18" t="s">
        <v>72</v>
      </c>
      <c r="J13" s="17" t="s">
        <v>73</v>
      </c>
      <c r="K13" s="18" t="s">
        <v>74</v>
      </c>
      <c r="L13" s="18" t="s">
        <v>75</v>
      </c>
      <c r="M13" s="19" t="s">
        <v>76</v>
      </c>
    </row>
    <row r="14" spans="1:13" x14ac:dyDescent="0.25">
      <c r="A14" s="59" t="s">
        <v>134</v>
      </c>
      <c r="B14" s="48" t="s">
        <v>138</v>
      </c>
      <c r="D14" s="5" t="s">
        <v>77</v>
      </c>
      <c r="E14" s="48" t="s">
        <v>161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B3ED7507-7FD9-4D91-B14B-1CFAA733D22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6"/>
  <sheetViews>
    <sheetView tabSelected="1" zoomScale="95" workbookViewId="0">
      <pane xSplit="1" topLeftCell="H1" activePane="topRight" state="frozen"/>
      <selection activeCell="E13" sqref="E13"/>
      <selection pane="topRight" activeCell="W22" sqref="W22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2" width="21" customWidth="1"/>
    <col min="13" max="13" width="27.44140625" customWidth="1"/>
    <col min="14" max="16" width="26" hidden="1" customWidth="1"/>
    <col min="17" max="17" width="34.33203125" customWidth="1"/>
    <col min="18" max="18" width="36" hidden="1" customWidth="1"/>
    <col min="19" max="19" width="34.88671875" hidden="1" customWidth="1"/>
    <col min="20" max="20" width="34.88671875" customWidth="1"/>
    <col min="21" max="23" width="28.109375" style="5" customWidth="1"/>
    <col min="24" max="24" width="16.109375" customWidth="1"/>
    <col min="25" max="25" width="23.44140625" bestFit="1" customWidth="1"/>
    <col min="1022" max="1026" width="11.44140625" customWidth="1"/>
  </cols>
  <sheetData>
    <row r="1" spans="1:25" ht="13.2" x14ac:dyDescent="0.25">
      <c r="A1" t="s">
        <v>41</v>
      </c>
      <c r="B1" s="20" t="s">
        <v>164</v>
      </c>
      <c r="C1" s="5"/>
      <c r="Q1" s="5"/>
      <c r="T1" s="5"/>
    </row>
    <row r="3" spans="1:25" s="8" customFormat="1" ht="13.2" x14ac:dyDescent="0.25">
      <c r="A3" s="9" t="s">
        <v>78</v>
      </c>
      <c r="B3" s="10"/>
      <c r="D3" s="26"/>
      <c r="F3" s="27"/>
      <c r="G3" s="28"/>
      <c r="H3" s="28"/>
      <c r="R3" s="11"/>
      <c r="S3" s="11"/>
      <c r="U3" s="11"/>
      <c r="V3" s="11"/>
      <c r="W3" s="11"/>
    </row>
    <row r="4" spans="1:25" ht="24" customHeight="1" x14ac:dyDescent="0.25">
      <c r="D4" s="29"/>
      <c r="G4" s="30"/>
      <c r="R4" s="5"/>
    </row>
    <row r="5" spans="1:25" s="14" customFormat="1" ht="79.2" x14ac:dyDescent="0.25">
      <c r="A5" s="14" t="s">
        <v>79</v>
      </c>
      <c r="B5" s="14" t="s">
        <v>80</v>
      </c>
      <c r="C5" s="14" t="s">
        <v>81</v>
      </c>
      <c r="D5" s="31" t="s">
        <v>82</v>
      </c>
      <c r="E5" s="14" t="s">
        <v>83</v>
      </c>
      <c r="F5" s="16" t="s">
        <v>84</v>
      </c>
      <c r="G5" s="32" t="s">
        <v>85</v>
      </c>
      <c r="H5" s="32" t="s">
        <v>86</v>
      </c>
      <c r="I5" s="14" t="s">
        <v>87</v>
      </c>
      <c r="J5" s="14" t="s">
        <v>88</v>
      </c>
      <c r="L5" s="14" t="s">
        <v>89</v>
      </c>
      <c r="M5" s="14" t="s">
        <v>90</v>
      </c>
      <c r="N5" s="14" t="s">
        <v>91</v>
      </c>
      <c r="O5" s="14" t="s">
        <v>92</v>
      </c>
      <c r="P5" s="14" t="s">
        <v>93</v>
      </c>
      <c r="Q5" s="14" t="s">
        <v>94</v>
      </c>
      <c r="R5" s="14" t="s">
        <v>95</v>
      </c>
      <c r="S5" s="14" t="s">
        <v>96</v>
      </c>
      <c r="T5" s="14" t="s">
        <v>97</v>
      </c>
      <c r="U5" s="14" t="s">
        <v>98</v>
      </c>
      <c r="V5" s="14" t="s">
        <v>99</v>
      </c>
    </row>
    <row r="6" spans="1:25" s="33" customFormat="1" ht="26.4" x14ac:dyDescent="0.25">
      <c r="A6" s="33" t="s">
        <v>100</v>
      </c>
      <c r="B6" s="33" t="s">
        <v>101</v>
      </c>
      <c r="C6" s="33" t="s">
        <v>102</v>
      </c>
      <c r="D6" s="34" t="s">
        <v>103</v>
      </c>
      <c r="E6" s="33" t="s">
        <v>104</v>
      </c>
      <c r="F6" s="35" t="s">
        <v>105</v>
      </c>
      <c r="G6" s="36"/>
      <c r="H6" s="36"/>
    </row>
    <row r="7" spans="1:25" ht="39.6" x14ac:dyDescent="0.25">
      <c r="A7" s="37" t="s">
        <v>66</v>
      </c>
      <c r="B7" s="38" t="s">
        <v>106</v>
      </c>
      <c r="C7" s="37" t="s">
        <v>107</v>
      </c>
      <c r="D7" s="39" t="s">
        <v>108</v>
      </c>
      <c r="E7" s="37" t="s">
        <v>109</v>
      </c>
      <c r="F7" s="40" t="s">
        <v>110</v>
      </c>
      <c r="G7" s="41" t="s">
        <v>111</v>
      </c>
      <c r="H7" s="41" t="s">
        <v>112</v>
      </c>
      <c r="I7" s="38" t="s">
        <v>69</v>
      </c>
      <c r="J7" s="38" t="s">
        <v>113</v>
      </c>
      <c r="K7" s="38" t="s">
        <v>114</v>
      </c>
      <c r="L7" s="18" t="s">
        <v>115</v>
      </c>
      <c r="M7" s="17" t="s">
        <v>116</v>
      </c>
      <c r="N7" s="38" t="s">
        <v>117</v>
      </c>
      <c r="O7" s="38" t="s">
        <v>118</v>
      </c>
      <c r="P7" s="38" t="s">
        <v>119</v>
      </c>
      <c r="Q7" s="18" t="s">
        <v>120</v>
      </c>
      <c r="R7" s="17" t="s">
        <v>73</v>
      </c>
      <c r="S7" s="38" t="s">
        <v>121</v>
      </c>
      <c r="T7" s="38" t="s">
        <v>122</v>
      </c>
      <c r="U7" s="38" t="s">
        <v>123</v>
      </c>
      <c r="V7" s="38" t="s">
        <v>121</v>
      </c>
      <c r="W7" s="38" t="s">
        <v>124</v>
      </c>
      <c r="X7" s="38" t="s">
        <v>125</v>
      </c>
      <c r="Y7" s="38" t="s">
        <v>126</v>
      </c>
    </row>
    <row r="8" spans="1:25" s="42" customFormat="1" ht="40.5" customHeight="1" x14ac:dyDescent="0.25">
      <c r="A8" s="42" t="s">
        <v>127</v>
      </c>
      <c r="D8" s="43"/>
      <c r="F8" s="44"/>
      <c r="G8" s="45"/>
      <c r="H8" s="45"/>
      <c r="Q8" s="46"/>
      <c r="U8" s="46"/>
      <c r="V8" s="46"/>
      <c r="W8" s="46"/>
    </row>
    <row r="9" spans="1:25" s="66" customFormat="1" ht="28.8" x14ac:dyDescent="0.25">
      <c r="A9" s="66" t="str">
        <f t="shared" ref="A9:A16" si="0">CONCATENATE(B9,"#",C9)</f>
        <v>gdi:HMDsubmissionShape#fg:0000753</v>
      </c>
      <c r="B9" s="67" t="s">
        <v>134</v>
      </c>
      <c r="C9" s="49" t="s">
        <v>148</v>
      </c>
      <c r="D9" s="49" t="s">
        <v>140</v>
      </c>
      <c r="E9" s="68" t="s">
        <v>155</v>
      </c>
      <c r="F9" s="69"/>
      <c r="G9" s="50"/>
      <c r="H9" s="70"/>
      <c r="I9" s="71" t="s">
        <v>131</v>
      </c>
      <c r="L9" s="51"/>
      <c r="U9" s="72"/>
      <c r="V9" s="72"/>
      <c r="W9" s="72"/>
      <c r="X9" s="73" t="s">
        <v>132</v>
      </c>
      <c r="Y9" s="73" t="s">
        <v>133</v>
      </c>
    </row>
    <row r="10" spans="1:25" s="58" customFormat="1" ht="28.8" x14ac:dyDescent="0.25">
      <c r="A10" s="58" t="str">
        <f t="shared" si="0"/>
        <v>gdi:HMDsubmissionShape#fg:0000754</v>
      </c>
      <c r="B10" s="59" t="s">
        <v>134</v>
      </c>
      <c r="C10" s="57" t="s">
        <v>149</v>
      </c>
      <c r="D10" s="52" t="s">
        <v>141</v>
      </c>
      <c r="E10" s="56" t="s">
        <v>156</v>
      </c>
      <c r="F10" s="60"/>
      <c r="G10" s="54"/>
      <c r="H10" s="61"/>
      <c r="I10" s="65" t="s">
        <v>131</v>
      </c>
      <c r="J10" s="55"/>
      <c r="K10" s="55"/>
      <c r="U10" s="63"/>
      <c r="V10" s="63"/>
      <c r="W10" s="63"/>
      <c r="X10" s="64" t="s">
        <v>132</v>
      </c>
      <c r="Y10" s="64" t="s">
        <v>133</v>
      </c>
    </row>
    <row r="11" spans="1:25" s="66" customFormat="1" ht="14.4" x14ac:dyDescent="0.25">
      <c r="A11" s="66" t="str">
        <f t="shared" si="0"/>
        <v>gdi:HMDsubmissionShape#fg:0000755</v>
      </c>
      <c r="B11" s="67" t="s">
        <v>134</v>
      </c>
      <c r="C11" s="49" t="s">
        <v>150</v>
      </c>
      <c r="D11" s="49" t="s">
        <v>142</v>
      </c>
      <c r="E11" s="68" t="s">
        <v>160</v>
      </c>
      <c r="F11" s="69"/>
      <c r="G11" s="50"/>
      <c r="H11" s="70"/>
      <c r="I11" s="71" t="s">
        <v>128</v>
      </c>
      <c r="L11" s="51"/>
      <c r="U11" s="72"/>
      <c r="V11" s="72"/>
      <c r="W11" s="72"/>
      <c r="X11" s="73" t="s">
        <v>129</v>
      </c>
      <c r="Y11" s="73" t="s">
        <v>130</v>
      </c>
    </row>
    <row r="12" spans="1:25" s="58" customFormat="1" ht="14.4" x14ac:dyDescent="0.25">
      <c r="A12" s="58" t="str">
        <f t="shared" si="0"/>
        <v>gdi:HMDsubmissionShape#fg:0000756</v>
      </c>
      <c r="B12" s="59" t="s">
        <v>134</v>
      </c>
      <c r="C12" s="52" t="s">
        <v>151</v>
      </c>
      <c r="D12" s="52" t="s">
        <v>143</v>
      </c>
      <c r="E12" s="56" t="s">
        <v>160</v>
      </c>
      <c r="F12" s="60"/>
      <c r="G12" s="54"/>
      <c r="H12" s="61"/>
      <c r="I12" s="62" t="s">
        <v>128</v>
      </c>
      <c r="L12" s="55"/>
      <c r="U12" s="63"/>
      <c r="V12" s="63"/>
      <c r="W12" s="63"/>
      <c r="X12" s="64" t="s">
        <v>129</v>
      </c>
      <c r="Y12" s="64" t="s">
        <v>130</v>
      </c>
    </row>
    <row r="13" spans="1:25" s="66" customFormat="1" ht="43.2" x14ac:dyDescent="0.25">
      <c r="A13" s="66" t="str">
        <f t="shared" si="0"/>
        <v>gdi:HMDsubmissionShape#fg:0000757</v>
      </c>
      <c r="B13" s="67" t="s">
        <v>134</v>
      </c>
      <c r="C13" s="49" t="s">
        <v>152</v>
      </c>
      <c r="D13" s="49" t="s">
        <v>144</v>
      </c>
      <c r="E13" s="74" t="s">
        <v>157</v>
      </c>
      <c r="F13" s="69"/>
      <c r="G13" s="50"/>
      <c r="H13" s="70"/>
      <c r="I13" s="71" t="s">
        <v>131</v>
      </c>
      <c r="L13" s="51"/>
      <c r="U13" s="72"/>
      <c r="V13" s="72"/>
      <c r="W13" s="72"/>
      <c r="X13" s="73" t="s">
        <v>132</v>
      </c>
      <c r="Y13" s="73" t="s">
        <v>133</v>
      </c>
    </row>
    <row r="14" spans="1:25" s="58" customFormat="1" ht="43.2" x14ac:dyDescent="0.25">
      <c r="A14" s="58" t="str">
        <f t="shared" si="0"/>
        <v>gdi:HMDsubmissionShape#fg:0000751</v>
      </c>
      <c r="B14" s="59" t="s">
        <v>134</v>
      </c>
      <c r="C14" s="52" t="s">
        <v>153</v>
      </c>
      <c r="D14" s="52" t="s">
        <v>145</v>
      </c>
      <c r="E14" s="53" t="s">
        <v>158</v>
      </c>
      <c r="F14" s="60"/>
      <c r="G14" s="54"/>
      <c r="H14" s="61"/>
      <c r="I14" s="62" t="s">
        <v>131</v>
      </c>
      <c r="L14" s="55"/>
      <c r="U14" s="63"/>
      <c r="V14" s="63"/>
      <c r="W14" s="63"/>
      <c r="X14" s="64" t="s">
        <v>132</v>
      </c>
      <c r="Y14" s="64" t="s">
        <v>133</v>
      </c>
    </row>
    <row r="15" spans="1:25" s="66" customFormat="1" ht="14.4" x14ac:dyDescent="0.25">
      <c r="A15" s="66" t="str">
        <f t="shared" si="0"/>
        <v>gdi:HMDsubmissionShape#fg:0000758</v>
      </c>
      <c r="B15" s="67" t="s">
        <v>134</v>
      </c>
      <c r="C15" s="49" t="s">
        <v>154</v>
      </c>
      <c r="D15" s="49" t="s">
        <v>146</v>
      </c>
      <c r="E15" s="68" t="s">
        <v>159</v>
      </c>
      <c r="F15" s="69"/>
      <c r="G15" s="50"/>
      <c r="H15" s="70"/>
      <c r="I15" s="73" t="s">
        <v>131</v>
      </c>
      <c r="L15" s="51"/>
      <c r="U15" s="72"/>
      <c r="V15" s="72"/>
      <c r="W15" s="72"/>
      <c r="X15" s="73" t="s">
        <v>132</v>
      </c>
      <c r="Y15" s="73" t="s">
        <v>133</v>
      </c>
    </row>
    <row r="16" spans="1:25" ht="12.75" customHeight="1" x14ac:dyDescent="0.25">
      <c r="A16" s="58" t="str">
        <f t="shared" si="0"/>
        <v>gdi:HMDsubmissionShape#fg:0000752</v>
      </c>
      <c r="B16" s="59" t="s">
        <v>134</v>
      </c>
      <c r="C16" s="52" t="s">
        <v>167</v>
      </c>
      <c r="D16" t="s">
        <v>165</v>
      </c>
      <c r="E16" t="s">
        <v>166</v>
      </c>
      <c r="I16" s="62" t="s">
        <v>131</v>
      </c>
      <c r="X16" s="64" t="s">
        <v>132</v>
      </c>
      <c r="Y16" s="64" t="s">
        <v>133</v>
      </c>
    </row>
  </sheetData>
  <conditionalFormatting sqref="G9:G15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15 G9:G1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709139A3-07C0-4F13-BE6C-33C41B5323FC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_Flow_SignoffStatus xmlns="cfc87205-1831-4b6c-a7b4-76d40079a43e" xsi:nil="true"/>
    <Categorie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AAEB16-68DD-4D0B-ABEE-F5FFA1FFD6CA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9AF0D4BE-F0F3-4B03-A8BD-9CD4C60B556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A4FD4-9C74-4788-AC27-9C2192995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2025-07-11T09:56:35Z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
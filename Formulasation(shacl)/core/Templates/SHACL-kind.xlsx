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202" documentId="13_ncr:1_{CC90F1A9-7F52-8148-BE94-617DCF70111C}" xr6:coauthVersionLast="47" xr6:coauthVersionMax="47" xr10:uidLastSave="{8900C538-81C7-400D-A9F2-F8AD89070914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A10" i="3"/>
  <c r="A9" i="3"/>
  <c r="B7" i="2"/>
</calcChain>
</file>

<file path=xl/sharedStrings.xml><?xml version="1.0" encoding="utf-8"?>
<sst xmlns="http://schemas.openxmlformats.org/spreadsheetml/2006/main" count="193" uniqueCount="154">
  <si>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</si>
  <si>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</si>
  <si>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</si>
  <si>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</si>
  <si>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</si>
  <si>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</si>
  <si>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</si>
  <si>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</si>
  <si>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</si>
  <si>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disco</t>
  </si>
  <si>
    <t>http://rdf-vocabulary.ddialliance.org/discovery#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</si>
  <si>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</si>
  <si>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</si>
  <si>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</si>
  <si>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</si>
  <si>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</si>
  <si>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</si>
  <si>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</si>
  <si>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</si>
  <si>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</si>
  <si>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</si>
  <si>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</si>
  <si>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</si>
  <si>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</si>
  <si>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</si>
  <si>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</si>
  <si>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</si>
  <si>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</si>
  <si>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</si>
  <si>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</si>
  <si>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</si>
  <si>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</si>
  <si>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</si>
  <si>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</si>
  <si>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</si>
  <si>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</si>
  <si>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</si>
  <si>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</si>
  <si>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</si>
  <si>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</si>
  <si>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</si>
  <si>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</si>
  <si>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</si>
  <si>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</si>
  <si>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</si>
  <si>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</si>
  <si>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</si>
  <si>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Kind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</si>
  <si>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</si>
  <si>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</si>
  <si>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</si>
  <si>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</si>
  <si>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</si>
  <si>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</si>
  <si>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</si>
  <si>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</si>
  <si>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</si>
  <si>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</si>
  <si>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</si>
  <si>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</si>
  <si>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</si>
  <si>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</si>
  <si>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</si>
  <si>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</si>
  <si>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</si>
  <si>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</si>
  <si>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</si>
  <si>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</si>
  <si>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</si>
  <si>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</si>
  <si>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</si>
  <si>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</si>
  <si>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</si>
  <si>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</si>
  <si>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</si>
  <si>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</si>
  <si>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</si>
  <si>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</si>
  <si>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</si>
  <si>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</si>
  <si>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</si>
  <si>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vcard:Kind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</si>
  <si>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</si>
  <si>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</si>
  <si>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</si>
  <si>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</si>
  <si>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</si>
  <si>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</si>
  <si>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</si>
  <si>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</si>
  <si>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</si>
  <si>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</si>
  <si>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</si>
  <si>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</si>
  <si>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</si>
  <si>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</si>
  <si>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</si>
  <si>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</si>
  <si>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</si>
  <si>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</si>
  <si>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</si>
  <si>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</si>
  <si>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</si>
  <si>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</si>
  <si>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</si>
  <si>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</si>
  <si>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</si>
  <si>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</si>
  <si>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</si>
  <si>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</si>
  <si>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</si>
  <si>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</si>
  <si>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</si>
  <si>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</si>
  <si>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</si>
  <si>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</si>
  <si>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</si>
  <si>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</si>
  <si>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</si>
  <si>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</si>
  <si>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</si>
  <si>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</si>
  <si>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</si>
  <si>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</si>
  <si>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</si>
  <si>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</si>
  <si>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</si>
  <si>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sh:pattern</t>
  </si>
  <si>
    <t>sh:defaultValue</t>
  </si>
  <si>
    <t>dash:viewer</t>
  </si>
  <si>
    <t>dash:editor</t>
  </si>
  <si>
    <t>Properties on Person</t>
  </si>
  <si>
    <t>vcard:hasURL</t>
  </si>
  <si>
    <t>contact page</t>
  </si>
  <si>
    <t>A webpage that either allows to make contact (i.e. a webform) or the information contains how to get into contact.</t>
  </si>
  <si>
    <t>sh:IRI</t>
  </si>
  <si>
    <t>dash:URIViewer</t>
  </si>
  <si>
    <t>dash:URIEditor</t>
  </si>
  <si>
    <t>vcard:hasEmail</t>
  </si>
  <si>
    <t>has email</t>
  </si>
  <si>
    <t>A email address via which contact can be made. Make sure you use the correct format, starting with 'mailto:'. For example: mailto:info@example.com</t>
  </si>
  <si>
    <t>^mailto:.+@.+\..+$</t>
  </si>
  <si>
    <t>vcard:fn</t>
  </si>
  <si>
    <t>formatted name</t>
  </si>
  <si>
    <t>The full name of the contact point.</t>
  </si>
  <si>
    <t>sh:Literal</t>
  </si>
  <si>
    <t>dash:LiteralViewer</t>
  </si>
  <si>
    <t>dash:TextAreaEditor</t>
  </si>
  <si>
    <t>http://data.health-ri.nl/GDI/</t>
  </si>
  <si>
    <t>gdi</t>
  </si>
  <si>
    <t>http://data.health-ri.nl/GDI/KindShape</t>
  </si>
  <si>
    <t>gdi:KindShape</t>
  </si>
  <si>
    <t>GDI Kind shape</t>
  </si>
  <si>
    <t>SHACL mandatory definitions for the GDI metadata model for vcard:Kind.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</si>
</sst>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6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82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wrapText="1"/>
    </xf>
    <xf numFmtId="0" fontId="33" fillId="49" borderId="0" xfId="0" applyFont="1" applyFill="1" applyAlignment="1">
      <alignment horizontal="center" vertical="center" readingOrder="1"/>
    </xf>
    <xf numFmtId="0" fontId="35" fillId="49" borderId="0" xfId="0" applyFont="1" applyFill="1" applyAlignment="1">
      <alignment horizontal="left" vertical="center" readingOrder="1"/>
    </xf>
    <xf numFmtId="0" fontId="35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 readingOrder="1"/>
    </xf>
    <xf numFmtId="0" fontId="28" fillId="0" borderId="0" xfId="0" applyFont="1"/>
    <xf numFmtId="0" fontId="30" fillId="0" borderId="0" xfId="0" applyFont="1" applyAlignment="1">
      <alignment horizontal="center" vertical="center" readingOrder="1"/>
    </xf>
    <xf numFmtId="0" fontId="35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 readingOrder="1"/>
    </xf>
    <xf numFmtId="0" fontId="30" fillId="0" borderId="0" xfId="0" applyFont="1" applyAlignment="1">
      <alignment horizontal="left" vertical="center"/>
    </xf>
    <xf numFmtId="0" fontId="32" fillId="0" borderId="0" xfId="161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0" fillId="49" borderId="0" xfId="0" applyFont="1" applyFill="1" applyAlignment="1">
      <alignment horizontal="center" vertical="center" readingOrder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34" fillId="0" borderId="0" xfId="0" applyFont="1" applyAlignment="1">
      <alignment vertical="center" readingOrder="1"/>
    </xf>
    <xf numFmtId="0" fontId="3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0" fontId="0" fillId="49" borderId="0" xfId="0" applyFill="1" applyAlignment="1">
      <alignment vertical="center"/>
    </xf>
    <xf numFmtId="0" fontId="29" fillId="49" borderId="0" xfId="0" applyFont="1" applyFill="1" applyAlignment="1">
      <alignment vertical="center" wrapText="1"/>
    </xf>
    <xf numFmtId="0" fontId="34" fillId="49" borderId="0" xfId="0" applyFont="1" applyFill="1" applyAlignment="1">
      <alignment vertical="center" readingOrder="1"/>
    </xf>
    <xf numFmtId="0" fontId="34" fillId="49" borderId="0" xfId="0" applyFont="1" applyFill="1" applyAlignment="1">
      <alignment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  <xf numFmtId="0" fontId="29" fillId="49" borderId="0" xfId="0" applyFont="1" applyFill="1" applyAlignment="1">
      <alignment vertical="center"/>
    </xf>
    <xf numFmtId="0" fontId="34" fillId="0" borderId="0" xfId="0" applyFont="1" applyAlignment="1">
      <alignment vertical="center" wrapText="1" readingOrder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Kind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Kind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G45" sqref="G45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0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0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s="1" t="s">
        <v>27</v>
      </c>
      <c r="C14" s="2" t="s">
        <v>28</v>
      </c>
    </row>
    <row r="15" spans="1:3" x14ac:dyDescent="0.25">
      <c r="A15" t="s">
        <v>0</v>
      </c>
      <c r="B15" t="s">
        <v>29</v>
      </c>
      <c r="C15" s="3" t="s">
        <v>30</v>
      </c>
    </row>
    <row r="16" spans="1:3" x14ac:dyDescent="0.25">
      <c r="A16" t="s">
        <v>0</v>
      </c>
      <c r="B16" s="1" t="s">
        <v>31</v>
      </c>
      <c r="C16" s="4" t="s">
        <v>32</v>
      </c>
    </row>
    <row r="17" spans="1:3" x14ac:dyDescent="0.25">
      <c r="A17" s="47" t="s">
        <v>0</v>
      </c>
      <c r="B17" s="1" t="s">
        <v>33</v>
      </c>
      <c r="C17" s="20" t="s">
        <v>34</v>
      </c>
    </row>
    <row r="18" spans="1:3" x14ac:dyDescent="0.25">
      <c r="A18" s="47" t="s">
        <v>0</v>
      </c>
      <c r="B18" s="1" t="s">
        <v>35</v>
      </c>
      <c r="C18" s="20" t="s">
        <v>36</v>
      </c>
    </row>
    <row r="19" spans="1:3" x14ac:dyDescent="0.25">
      <c r="A19" s="47" t="s">
        <v>0</v>
      </c>
      <c r="B19" s="1" t="s">
        <v>37</v>
      </c>
      <c r="C19" s="20" t="s">
        <v>38</v>
      </c>
    </row>
    <row r="20" spans="1:3" x14ac:dyDescent="0.25">
      <c r="A20" s="47" t="s">
        <v>0</v>
      </c>
      <c r="B20" s="1" t="s">
        <v>39</v>
      </c>
      <c r="C20" s="20" t="s">
        <v>40</v>
      </c>
    </row>
    <row r="21" spans="1:3" x14ac:dyDescent="0.25">
      <c r="A21" s="47" t="s">
        <v>0</v>
      </c>
      <c r="B21" s="1" t="s">
        <v>41</v>
      </c>
      <c r="C21" s="20" t="s">
        <v>42</v>
      </c>
    </row>
    <row r="22" spans="1:3" x14ac:dyDescent="0.25">
      <c r="A22" s="47" t="s">
        <v>0</v>
      </c>
      <c r="B22" s="1" t="s">
        <v>1</v>
      </c>
      <c r="C22" s="20" t="s">
        <v>2</v>
      </c>
    </row>
    <row r="23" spans="1:3" x14ac:dyDescent="0.25">
      <c r="A23" s="47" t="s">
        <v>0</v>
      </c>
      <c r="B23" s="1" t="s">
        <v>149</v>
      </c>
      <c r="C23" s="20" t="s">
        <v>148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12" r:id="rId10" xr:uid="{00000000-0004-0000-0000-00000A000000}"/>
    <hyperlink ref="C13" r:id="rId11" xr:uid="{00000000-0004-0000-0000-00000B000000}"/>
    <hyperlink ref="C14" r:id="rId12" xr:uid="{00000000-0004-0000-0000-00000C000000}"/>
    <hyperlink ref="C16" r:id="rId13" xr:uid="{00000000-0004-0000-0000-00000D000000}"/>
    <hyperlink ref="C17" r:id="rId14" xr:uid="{E64DB88F-9F5E-A648-ABB9-02E5F033E816}"/>
    <hyperlink ref="C18" r:id="rId15" xr:uid="{9B141FE6-7A72-5049-ACCC-24002FF7FEB8}"/>
    <hyperlink ref="C19" r:id="rId16" xr:uid="{D057F275-3F3E-9B4C-9E2A-8AF7793B587D}"/>
    <hyperlink ref="C21" r:id="rId17" xr:uid="{1EBFD8CF-2735-AB46-AA25-D025E07F3C66}"/>
    <hyperlink ref="C22" r:id="rId18" xr:uid="{B9283F37-134B-D546-B21B-69E645E3B2B5}"/>
    <hyperlink ref="C20" r:id="rId19" xr:uid="{57BA6023-14A9-DE4B-A910-4186F9FEF907}"/>
    <hyperlink ref="C5" r:id="rId20" xr:uid="{6241151C-3C54-415E-AB10-BE4CF8B8DB0F}"/>
    <hyperlink ref="C4" r:id="rId21" xr:uid="{4D1AD5A0-D3FF-4C73-B713-2F7D8622457D}"/>
    <hyperlink ref="C23" r:id="rId22" xr:uid="{62915938-E195-4AD5-859C-556B5B38759B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150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s="47" t="s">
        <v>47</v>
      </c>
      <c r="F3" s="3"/>
    </row>
    <row r="4" spans="1:13" x14ac:dyDescent="0.25">
      <c r="A4" t="s">
        <v>48</v>
      </c>
      <c r="B4" s="47" t="s">
        <v>152</v>
      </c>
      <c r="F4" s="3"/>
    </row>
    <row r="5" spans="1:13" ht="39.6" x14ac:dyDescent="0.25">
      <c r="A5" t="s">
        <v>49</v>
      </c>
      <c r="B5" s="48" t="s">
        <v>153</v>
      </c>
      <c r="F5" s="3"/>
    </row>
    <row r="6" spans="1:13" x14ac:dyDescent="0.25">
      <c r="A6" t="s">
        <v>50</v>
      </c>
      <c r="B6" t="s">
        <v>51</v>
      </c>
      <c r="F6" s="3"/>
    </row>
    <row r="7" spans="1:13" x14ac:dyDescent="0.25">
      <c r="A7" t="s">
        <v>52</v>
      </c>
      <c r="B7" s="6">
        <f ca="1">NOW()</f>
        <v>45849.414945138888</v>
      </c>
      <c r="F7" s="3"/>
    </row>
    <row r="8" spans="1:13" x14ac:dyDescent="0.25">
      <c r="G8" s="7"/>
    </row>
    <row r="9" spans="1:13" s="8" customFormat="1" x14ac:dyDescent="0.25">
      <c r="A9" s="9" t="s">
        <v>53</v>
      </c>
      <c r="G9" s="10"/>
      <c r="H9" s="11"/>
      <c r="I9" s="11"/>
      <c r="K9" s="11"/>
    </row>
    <row r="10" spans="1:13" s="8" customFormat="1" x14ac:dyDescent="0.25">
      <c r="A10" s="9" t="s">
        <v>54</v>
      </c>
      <c r="D10" s="12" t="s">
        <v>55</v>
      </c>
      <c r="G10" s="10"/>
      <c r="H10" s="11"/>
      <c r="I10" s="11"/>
      <c r="K10" s="11"/>
    </row>
    <row r="12" spans="1:13" s="13" customFormat="1" ht="89.25" customHeight="1" x14ac:dyDescent="0.25">
      <c r="A12" s="13" t="s">
        <v>56</v>
      </c>
      <c r="B12" s="14" t="s">
        <v>57</v>
      </c>
      <c r="C12" s="14" t="s">
        <v>58</v>
      </c>
      <c r="D12" s="15" t="s">
        <v>59</v>
      </c>
      <c r="E12" s="15" t="s">
        <v>60</v>
      </c>
      <c r="F12" s="14" t="s">
        <v>61</v>
      </c>
      <c r="G12" s="14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6" t="s">
        <v>68</v>
      </c>
    </row>
    <row r="13" spans="1:13" ht="44.85" customHeight="1" x14ac:dyDescent="0.25">
      <c r="A13" s="17" t="s">
        <v>69</v>
      </c>
      <c r="B13" s="18" t="s">
        <v>46</v>
      </c>
      <c r="C13" s="18" t="s">
        <v>48</v>
      </c>
      <c r="D13" s="17" t="s">
        <v>70</v>
      </c>
      <c r="E13" s="17" t="s">
        <v>71</v>
      </c>
      <c r="F13" s="17" t="s">
        <v>72</v>
      </c>
      <c r="G13" s="18" t="s">
        <v>73</v>
      </c>
      <c r="H13" s="18" t="s">
        <v>74</v>
      </c>
      <c r="I13" s="18" t="s">
        <v>75</v>
      </c>
      <c r="J13" s="17" t="s">
        <v>76</v>
      </c>
      <c r="K13" s="18" t="s">
        <v>77</v>
      </c>
      <c r="L13" s="18" t="s">
        <v>78</v>
      </c>
      <c r="M13" s="19" t="s">
        <v>79</v>
      </c>
    </row>
    <row r="14" spans="1:13" x14ac:dyDescent="0.25">
      <c r="A14" s="48" t="s">
        <v>151</v>
      </c>
      <c r="B14" s="48" t="s">
        <v>47</v>
      </c>
      <c r="D14" s="5" t="s">
        <v>80</v>
      </c>
      <c r="E14" s="48" t="s">
        <v>81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AFCD2D74-1A4B-4242-AF3A-A13FE5079CD9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"/>
  <sheetViews>
    <sheetView tabSelected="1" zoomScale="95" workbookViewId="0">
      <pane xSplit="1" topLeftCell="B1" activePane="topRight" state="frozen"/>
      <selection activeCell="E13" sqref="E13"/>
      <selection pane="topRight" activeCell="A9" sqref="A9"/>
    </sheetView>
  </sheetViews>
  <sheetFormatPr defaultColWidth="8.88671875" defaultRowHeight="12.75" customHeight="1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1.44140625" style="5" customWidth="1"/>
    <col min="6" max="6" width="41.109375" style="22" customWidth="1"/>
    <col min="7" max="7" width="14.44140625" style="24" customWidth="1"/>
    <col min="8" max="8" width="12" style="25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3" width="28.109375" style="5" customWidth="1"/>
    <col min="24" max="24" width="16.109375" customWidth="1"/>
    <col min="1022" max="1026" width="11.44140625" customWidth="1"/>
  </cols>
  <sheetData>
    <row r="1" spans="1:25" ht="13.2" x14ac:dyDescent="0.25">
      <c r="A1" t="s">
        <v>43</v>
      </c>
      <c r="B1" s="20" t="s">
        <v>150</v>
      </c>
      <c r="P1" s="5"/>
      <c r="S1" s="5"/>
    </row>
    <row r="3" spans="1:25" s="8" customFormat="1" ht="13.2" x14ac:dyDescent="0.25">
      <c r="A3" s="9" t="s">
        <v>82</v>
      </c>
      <c r="B3" s="10"/>
      <c r="D3" s="26"/>
      <c r="F3" s="27"/>
      <c r="G3" s="28"/>
      <c r="H3" s="28"/>
      <c r="Q3" s="11"/>
      <c r="R3" s="11"/>
      <c r="T3" s="11"/>
      <c r="U3" s="11"/>
      <c r="V3" s="11"/>
      <c r="W3" s="11"/>
    </row>
    <row r="4" spans="1:25" ht="24" customHeight="1" x14ac:dyDescent="0.25">
      <c r="D4" s="29"/>
      <c r="G4" s="30"/>
      <c r="Q4" s="5"/>
    </row>
    <row r="5" spans="1:25" s="14" customFormat="1" ht="79.2" x14ac:dyDescent="0.25">
      <c r="A5" s="14" t="s">
        <v>83</v>
      </c>
      <c r="B5" s="14" t="s">
        <v>84</v>
      </c>
      <c r="C5" s="14" t="s">
        <v>85</v>
      </c>
      <c r="D5" s="31" t="s">
        <v>86</v>
      </c>
      <c r="E5" s="14" t="s">
        <v>87</v>
      </c>
      <c r="F5" s="16" t="s">
        <v>88</v>
      </c>
      <c r="G5" s="32" t="s">
        <v>89</v>
      </c>
      <c r="H5" s="32" t="s">
        <v>90</v>
      </c>
      <c r="I5" s="14" t="s">
        <v>91</v>
      </c>
      <c r="J5" s="14" t="s">
        <v>92</v>
      </c>
      <c r="K5" s="14" t="s">
        <v>93</v>
      </c>
      <c r="L5" s="14" t="s">
        <v>94</v>
      </c>
      <c r="M5" s="14" t="s">
        <v>95</v>
      </c>
      <c r="N5" s="14" t="s">
        <v>96</v>
      </c>
      <c r="O5" s="14" t="s">
        <v>97</v>
      </c>
      <c r="P5" s="14" t="s">
        <v>98</v>
      </c>
      <c r="Q5" s="14" t="s">
        <v>99</v>
      </c>
      <c r="R5" s="14" t="s">
        <v>100</v>
      </c>
      <c r="S5" s="14" t="s">
        <v>101</v>
      </c>
      <c r="T5" s="14" t="s">
        <v>102</v>
      </c>
      <c r="U5" s="14" t="s">
        <v>103</v>
      </c>
    </row>
    <row r="6" spans="1:25" s="33" customFormat="1" ht="26.4" x14ac:dyDescent="0.25">
      <c r="A6" s="33" t="s">
        <v>104</v>
      </c>
      <c r="B6" s="33" t="s">
        <v>105</v>
      </c>
      <c r="C6" s="33" t="s">
        <v>106</v>
      </c>
      <c r="D6" s="34" t="s">
        <v>107</v>
      </c>
      <c r="E6" s="33" t="s">
        <v>108</v>
      </c>
      <c r="F6" s="35" t="s">
        <v>109</v>
      </c>
      <c r="G6" s="36"/>
      <c r="H6" s="36"/>
    </row>
    <row r="7" spans="1:25" ht="39.6" x14ac:dyDescent="0.25">
      <c r="A7" s="37" t="s">
        <v>69</v>
      </c>
      <c r="B7" s="38" t="s">
        <v>110</v>
      </c>
      <c r="C7" s="37" t="s">
        <v>111</v>
      </c>
      <c r="D7" s="39" t="s">
        <v>112</v>
      </c>
      <c r="E7" s="37" t="s">
        <v>113</v>
      </c>
      <c r="F7" s="40" t="s">
        <v>114</v>
      </c>
      <c r="G7" s="41" t="s">
        <v>115</v>
      </c>
      <c r="H7" s="41" t="s">
        <v>116</v>
      </c>
      <c r="I7" s="38" t="s">
        <v>72</v>
      </c>
      <c r="J7" s="38" t="s">
        <v>117</v>
      </c>
      <c r="K7" s="18" t="s">
        <v>118</v>
      </c>
      <c r="L7" s="17" t="s">
        <v>119</v>
      </c>
      <c r="M7" s="38" t="s">
        <v>120</v>
      </c>
      <c r="N7" s="38" t="s">
        <v>121</v>
      </c>
      <c r="O7" s="38" t="s">
        <v>122</v>
      </c>
      <c r="P7" s="18" t="s">
        <v>123</v>
      </c>
      <c r="Q7" s="17" t="s">
        <v>76</v>
      </c>
      <c r="R7" s="38" t="s">
        <v>124</v>
      </c>
      <c r="S7" s="38" t="s">
        <v>125</v>
      </c>
      <c r="T7" s="38" t="s">
        <v>126</v>
      </c>
      <c r="U7" s="38" t="s">
        <v>124</v>
      </c>
      <c r="V7" s="38" t="s">
        <v>127</v>
      </c>
      <c r="W7" s="38" t="s">
        <v>128</v>
      </c>
      <c r="X7" s="38" t="s">
        <v>129</v>
      </c>
      <c r="Y7" s="38" t="s">
        <v>130</v>
      </c>
    </row>
    <row r="8" spans="1:25" s="42" customFormat="1" ht="40.5" customHeight="1" x14ac:dyDescent="0.25">
      <c r="A8" s="42" t="s">
        <v>131</v>
      </c>
      <c r="D8" s="43"/>
      <c r="F8" s="44"/>
      <c r="G8" s="45"/>
      <c r="H8" s="45"/>
      <c r="P8" s="46"/>
      <c r="T8" s="46"/>
      <c r="U8" s="46"/>
      <c r="V8" s="46"/>
      <c r="W8" s="46"/>
    </row>
    <row r="9" spans="1:25" s="63" customFormat="1" ht="43.2" x14ac:dyDescent="0.25">
      <c r="A9" s="63" t="str">
        <f>CONCATENATE(B9,"#",C9)</f>
        <v>gdi:KindShape#vcard:hasURL</v>
      </c>
      <c r="B9" s="64" t="s">
        <v>151</v>
      </c>
      <c r="C9" s="51" t="s">
        <v>132</v>
      </c>
      <c r="D9" s="65" t="s">
        <v>133</v>
      </c>
      <c r="E9" s="66" t="s">
        <v>134</v>
      </c>
      <c r="F9" s="67"/>
      <c r="G9" s="52"/>
      <c r="H9" s="68"/>
      <c r="I9" s="69" t="s">
        <v>135</v>
      </c>
      <c r="K9" s="54"/>
      <c r="T9" s="70"/>
      <c r="U9" s="70"/>
      <c r="V9" s="70"/>
      <c r="W9" s="70"/>
      <c r="X9" s="71" t="s">
        <v>136</v>
      </c>
      <c r="Y9" s="71" t="s">
        <v>137</v>
      </c>
    </row>
    <row r="10" spans="1:25" s="72" customFormat="1" ht="57.6" x14ac:dyDescent="0.25">
      <c r="A10" s="72" t="str">
        <f>CONCATENATE(B10,"#",C10)</f>
        <v>gdi:KindShape#vcard:hasEmail</v>
      </c>
      <c r="B10" s="73" t="s">
        <v>151</v>
      </c>
      <c r="C10" s="50" t="s">
        <v>138</v>
      </c>
      <c r="D10" s="74" t="s">
        <v>139</v>
      </c>
      <c r="E10" s="75" t="s">
        <v>140</v>
      </c>
      <c r="F10" s="76"/>
      <c r="G10" s="49">
        <v>1</v>
      </c>
      <c r="H10" s="77">
        <v>1</v>
      </c>
      <c r="I10" s="78" t="s">
        <v>135</v>
      </c>
      <c r="K10" s="62"/>
      <c r="T10" s="79"/>
      <c r="U10" s="79"/>
      <c r="V10" s="79" t="s">
        <v>141</v>
      </c>
      <c r="W10" s="79"/>
      <c r="X10" s="80" t="s">
        <v>136</v>
      </c>
      <c r="Y10" s="80" t="s">
        <v>137</v>
      </c>
    </row>
    <row r="11" spans="1:25" s="63" customFormat="1" ht="14.4" x14ac:dyDescent="0.25">
      <c r="A11" s="63" t="str">
        <f>CONCATENATE(B11,"#",C11)</f>
        <v>gdi:KindShape#vcard:fn</v>
      </c>
      <c r="B11" s="64" t="s">
        <v>151</v>
      </c>
      <c r="C11" s="55" t="s">
        <v>142</v>
      </c>
      <c r="D11" s="65" t="s">
        <v>143</v>
      </c>
      <c r="E11" s="81" t="s">
        <v>144</v>
      </c>
      <c r="F11" s="67"/>
      <c r="G11" s="52">
        <v>1</v>
      </c>
      <c r="H11" s="68">
        <v>1</v>
      </c>
      <c r="I11" s="69" t="s">
        <v>145</v>
      </c>
      <c r="L11" s="54"/>
      <c r="T11" s="70"/>
      <c r="U11" s="70"/>
      <c r="V11" s="70"/>
      <c r="W11" s="70"/>
      <c r="X11" s="71" t="s">
        <v>146</v>
      </c>
      <c r="Y11" s="71" t="s">
        <v>147</v>
      </c>
    </row>
    <row r="12" spans="1:25" ht="14.4" x14ac:dyDescent="0.25">
      <c r="B12" s="48"/>
      <c r="C12" s="56"/>
      <c r="D12" s="56"/>
      <c r="E12" s="57"/>
      <c r="G12" s="52"/>
      <c r="I12" s="53"/>
      <c r="K12" s="54"/>
      <c r="X12" s="47"/>
      <c r="Y12" s="47"/>
    </row>
    <row r="13" spans="1:25" ht="14.4" x14ac:dyDescent="0.25">
      <c r="B13" s="48"/>
      <c r="C13" s="58"/>
      <c r="D13" s="56"/>
      <c r="E13" s="59"/>
      <c r="G13" s="52"/>
      <c r="I13" s="53"/>
      <c r="K13" s="54"/>
      <c r="X13" s="47"/>
      <c r="Y13" s="47"/>
    </row>
    <row r="14" spans="1:25" ht="14.4" x14ac:dyDescent="0.25">
      <c r="B14" s="48"/>
      <c r="C14" s="56"/>
      <c r="D14" s="56"/>
      <c r="E14" s="59"/>
      <c r="G14" s="52"/>
      <c r="I14" s="53"/>
      <c r="J14" s="54"/>
      <c r="X14" s="47"/>
      <c r="Y14" s="47"/>
    </row>
    <row r="15" spans="1:25" ht="14.4" x14ac:dyDescent="0.25">
      <c r="B15" s="48"/>
      <c r="C15" s="58"/>
      <c r="D15" s="56"/>
      <c r="E15" s="60"/>
      <c r="G15" s="52"/>
      <c r="I15" s="53"/>
      <c r="L15" s="54"/>
      <c r="X15" s="47"/>
      <c r="Y15" s="47"/>
    </row>
    <row r="16" spans="1:25" ht="14.4" x14ac:dyDescent="0.25">
      <c r="B16" s="48"/>
      <c r="C16" s="56"/>
      <c r="D16" s="56"/>
      <c r="E16" s="61"/>
      <c r="G16" s="52"/>
      <c r="I16" s="53"/>
      <c r="K16" s="54"/>
      <c r="X16" s="47"/>
      <c r="Y16" s="47"/>
    </row>
    <row r="17" spans="2:25" ht="14.4" x14ac:dyDescent="0.25">
      <c r="B17" s="48"/>
      <c r="C17" s="56"/>
      <c r="D17" s="56"/>
      <c r="E17" s="57"/>
      <c r="G17" s="52"/>
      <c r="J17" s="54"/>
      <c r="X17" s="47"/>
      <c r="Y17" s="47"/>
    </row>
    <row r="18" spans="2:25" ht="14.4" x14ac:dyDescent="0.25">
      <c r="B18" s="48"/>
      <c r="C18" s="56"/>
      <c r="D18" s="56"/>
      <c r="E18" s="61"/>
      <c r="G18" s="52"/>
      <c r="I18" s="53"/>
      <c r="K18" s="54"/>
      <c r="X18" s="47"/>
      <c r="Y18" s="47"/>
    </row>
    <row r="19" spans="2:25" ht="14.4" x14ac:dyDescent="0.25">
      <c r="B19" s="48"/>
      <c r="C19" s="56"/>
      <c r="D19" s="56"/>
      <c r="E19" s="57"/>
      <c r="G19" s="52"/>
      <c r="J19" s="54"/>
      <c r="K19" s="54"/>
      <c r="X19" s="47"/>
      <c r="Y19" s="47"/>
    </row>
    <row r="20" spans="2:25" ht="14.4" x14ac:dyDescent="0.25">
      <c r="B20" s="48"/>
      <c r="C20" s="56"/>
      <c r="D20" s="56"/>
      <c r="E20" s="59"/>
      <c r="G20" s="52"/>
      <c r="L20" s="54"/>
      <c r="X20" s="47"/>
      <c r="Y20" s="47"/>
    </row>
    <row r="21" spans="2:25" ht="14.4" x14ac:dyDescent="0.25">
      <c r="B21" s="48"/>
      <c r="C21" s="58"/>
      <c r="D21" s="56"/>
      <c r="E21" s="58"/>
      <c r="G21" s="52"/>
      <c r="I21" s="47"/>
      <c r="K21" s="54"/>
      <c r="X21" s="47"/>
      <c r="Y21" s="47"/>
    </row>
    <row r="22" spans="2:25" ht="14.4" x14ac:dyDescent="0.25">
      <c r="B22" s="48"/>
      <c r="C22" s="56"/>
      <c r="D22" s="56"/>
      <c r="E22" s="57"/>
      <c r="G22" s="52"/>
      <c r="I22" s="47"/>
      <c r="J22" s="54"/>
      <c r="X22" s="47"/>
      <c r="Y22" s="47"/>
    </row>
    <row r="23" spans="2:25" ht="14.4" x14ac:dyDescent="0.25">
      <c r="B23" s="48"/>
      <c r="D23" s="56"/>
      <c r="E23" s="57"/>
      <c r="G23" s="52"/>
      <c r="J23" s="54"/>
      <c r="X23" s="47"/>
      <c r="Y23" s="47"/>
    </row>
    <row r="24" spans="2:25" ht="14.4" x14ac:dyDescent="0.25">
      <c r="B24" s="48"/>
      <c r="D24" s="56"/>
      <c r="E24" s="57"/>
      <c r="G24" s="52"/>
      <c r="I24" s="47"/>
      <c r="K24" s="54"/>
      <c r="X24" s="47"/>
      <c r="Y24" s="47"/>
    </row>
    <row r="25" spans="2:25" ht="13.2" x14ac:dyDescent="0.25">
      <c r="B25" s="48"/>
    </row>
    <row r="26" spans="2:25" ht="13.2" x14ac:dyDescent="0.25">
      <c r="B26" s="48"/>
    </row>
    <row r="27" spans="2:25" ht="13.2" x14ac:dyDescent="0.25"/>
    <row r="28" spans="2:25" ht="13.2" x14ac:dyDescent="0.25"/>
    <row r="29" spans="2:25" ht="13.2" x14ac:dyDescent="0.25"/>
    <row r="30" spans="2:25" ht="13.2" x14ac:dyDescent="0.25"/>
    <row r="31" spans="2:25" ht="13.2" x14ac:dyDescent="0.25"/>
    <row r="32" spans="2:25" ht="13.2" x14ac:dyDescent="0.25"/>
  </sheetData>
  <conditionalFormatting sqref="G9:G24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24 G9:G22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E2B4A3C5-C2EF-4623-B9F6-EEFAA7FFC8E8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4AA23D19-24C0-474F-8727-FF9E86A2B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2025-07-11T08:06:16Z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